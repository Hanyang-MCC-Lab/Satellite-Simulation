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jrnj\PycharmProjects\Satellite-Simulation\SimulationResult\"/>
    </mc:Choice>
  </mc:AlternateContent>
  <xr:revisionPtr revIDLastSave="0" documentId="13_ncr:1_{139FB024-7589-4FE4-AE4C-D69B55312493}" xr6:coauthVersionLast="47" xr6:coauthVersionMax="47" xr10:uidLastSave="{00000000-0000-0000-0000-000000000000}"/>
  <bookViews>
    <workbookView xWindow="-24690" yWindow="3315" windowWidth="21600" windowHeight="11385" tabRatio="1000" xr2:uid="{E6726085-0747-4589-856F-AE988516A596}"/>
  </bookViews>
  <sheets>
    <sheet name="data" sheetId="86" r:id="rId1"/>
    <sheet name="hops" sheetId="87" r:id="rId2"/>
    <sheet name="fails" sheetId="7" r:id="rId3"/>
    <sheet name="overhead" sheetId="89" r:id="rId4"/>
    <sheet name="e2e" sheetId="8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6" l="1"/>
  <c r="R5" i="86"/>
  <c r="R6" i="86"/>
  <c r="R7" i="86"/>
  <c r="R8" i="86"/>
  <c r="R9" i="86"/>
  <c r="R10" i="86"/>
  <c r="R11" i="86"/>
  <c r="R12" i="86"/>
  <c r="R13" i="86"/>
  <c r="R3" i="8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3C0AB7-DA2C-4D86-B25D-5EFDA2A9D0FF}" keepAlive="1" name="쿼리 - DDRresult0 0008" description="통합 문서의 'DDRresult0 0008' 쿼리에 대한 연결입니다." type="5" refreshedVersion="8" background="1" saveData="1">
    <dbPr connection="Provider=Microsoft.Mashup.OleDb.1;Data Source=$Workbook$;Location=&quot;DDRresult0 0008&quot;;Extended Properties=&quot;&quot;" command="SELECT * FROM [DDRresult0 0008]"/>
  </connection>
  <connection id="2" xr16:uid="{901CC1E0-0CA8-4FBB-8698-73D70BB17D0A}" keepAlive="1" name="쿼리 - DDRresult0 0009" description="통합 문서의 'DDRresult0 0009' 쿼리에 대한 연결입니다." type="5" refreshedVersion="8" background="1" saveData="1">
    <dbPr connection="Provider=Microsoft.Mashup.OleDb.1;Data Source=$Workbook$;Location=&quot;DDRresult0 0009&quot;;Extended Properties=&quot;&quot;" command="SELECT * FROM [DDRresult0 0009]"/>
  </connection>
  <connection id="3" xr16:uid="{19CF18F0-1A04-4890-B228-10BA290BFE56}" keepAlive="1" name="쿼리 - DDRresult0 001" description="통합 문서의 'DDRresult0 001' 쿼리에 대한 연결입니다." type="5" refreshedVersion="8" background="1" saveData="1">
    <dbPr connection="Provider=Microsoft.Mashup.OleDb.1;Data Source=$Workbook$;Location=&quot;DDRresult0 001&quot;;Extended Properties=&quot;&quot;" command="SELECT * FROM [DDRresult0 001]"/>
  </connection>
  <connection id="4" xr16:uid="{9EF3701D-CA70-4539-AB53-EEF9EFB30A64}" keepAlive="1" name="쿼리 - DDRresult0 0011" description="통합 문서의 'DDRresult0 0011' 쿼리에 대한 연결입니다." type="5" refreshedVersion="8" background="1" saveData="1">
    <dbPr connection="Provider=Microsoft.Mashup.OleDb.1;Data Source=$Workbook$;Location=&quot;DDRresult0 0011&quot;;Extended Properties=&quot;&quot;" command="SELECT * FROM [DDRresult0 0011]"/>
  </connection>
  <connection id="5" xr16:uid="{0120CFD7-5BF2-45E0-BBB0-9776F4BC4F30}" keepAlive="1" name="쿼리 - DDRresult0 0012" description="통합 문서의 'DDRresult0 0012' 쿼리에 대한 연결입니다." type="5" refreshedVersion="8" background="1" saveData="1">
    <dbPr connection="Provider=Microsoft.Mashup.OleDb.1;Data Source=$Workbook$;Location=&quot;DDRresult0 0012&quot;;Extended Properties=&quot;&quot;" command="SELECT * FROM [DDRresult0 0012]"/>
  </connection>
  <connection id="6" xr16:uid="{3139EC43-CDE9-465D-B8BE-4686F5A11032}" keepAlive="1" name="쿼리 - DDRresult0 0013" description="통합 문서의 'DDRresult0 0013' 쿼리에 대한 연결입니다." type="5" refreshedVersion="8" background="1" saveData="1">
    <dbPr connection="Provider=Microsoft.Mashup.OleDb.1;Data Source=$Workbook$;Location=&quot;DDRresult0 0013&quot;;Extended Properties=&quot;&quot;" command="SELECT * FROM [DDRresult0 0013]"/>
  </connection>
  <connection id="7" xr16:uid="{477BE15B-C176-4BD9-862F-936A67549094}" keepAlive="1" name="쿼리 - DDRresult0 0014" description="통합 문서의 'DDRresult0 0014' 쿼리에 대한 연결입니다." type="5" refreshedVersion="8" background="1" saveData="1">
    <dbPr connection="Provider=Microsoft.Mashup.OleDb.1;Data Source=$Workbook$;Location=&quot;DDRresult0 0014&quot;;Extended Properties=&quot;&quot;" command="SELECT * FROM [DDRresult0 0014]"/>
  </connection>
  <connection id="8" xr16:uid="{802B5487-04D1-42DF-B6CF-622940E4B891}" keepAlive="1" name="쿼리 - DDRresult0 0015" description="통합 문서의 'DDRresult0 0015' 쿼리에 대한 연결입니다." type="5" refreshedVersion="8" background="1" saveData="1">
    <dbPr connection="Provider=Microsoft.Mashup.OleDb.1;Data Source=$Workbook$;Location=&quot;DDRresult0 0015&quot;;Extended Properties=&quot;&quot;" command="SELECT * FROM [DDRresult0 0015]"/>
  </connection>
  <connection id="9" xr16:uid="{B4BC79DE-C643-432D-9BBE-7ADA5FC6214C}" keepAlive="1" name="쿼리 - DDRresult0 0016" description="통합 문서의 'DDRresult0 0016' 쿼리에 대한 연결입니다." type="5" refreshedVersion="8" background="1" saveData="1">
    <dbPr connection="Provider=Microsoft.Mashup.OleDb.1;Data Source=$Workbook$;Location=&quot;DDRresult0 0016&quot;;Extended Properties=&quot;&quot;" command="SELECT * FROM [DDRresult0 0016]"/>
  </connection>
  <connection id="10" xr16:uid="{0AFD1932-9FDD-4F60-8FF5-6AD0D5674D01}" keepAlive="1" name="쿼리 - DDRresult0 0017" description="통합 문서의 'DDRresult0 0017' 쿼리에 대한 연결입니다." type="5" refreshedVersion="8" background="1" saveData="1">
    <dbPr connection="Provider=Microsoft.Mashup.OleDb.1;Data Source=$Workbook$;Location=&quot;DDRresult0 0017&quot;;Extended Properties=&quot;&quot;" command="SELECT * FROM [DDRresult0 0017]"/>
  </connection>
  <connection id="11" xr16:uid="{363EC77D-59DD-40AD-B364-8F37EA606937}" keepAlive="1" name="쿼리 - DDRresult0 0018" description="통합 문서의 'DDRresult0 0018' 쿼리에 대한 연결입니다." type="5" refreshedVersion="8" background="1" saveData="1">
    <dbPr connection="Provider=Microsoft.Mashup.OleDb.1;Data Source=$Workbook$;Location=&quot;DDRresult0 0018&quot;;Extended Properties=&quot;&quot;" command="SELECT * FROM [DDRresult0 0018]"/>
  </connection>
  <connection id="12" xr16:uid="{42646CEC-09D3-407A-915B-31D7AFF92C2D}" keepAlive="1" name="쿼리 - DTDRpat_result0 0011" description="통합 문서의 'DTDRpat_result0 0011' 쿼리에 대한 연결입니다." type="5" refreshedVersion="0" background="1">
    <dbPr connection="Provider=Microsoft.Mashup.OleDb.1;Data Source=$Workbook$;Location=&quot;DTDRpat_result0 0011&quot;;Extended Properties=&quot;&quot;" command="SELECT * FROM [DTDRpat_result0 0011]"/>
  </connection>
  <connection id="13" xr16:uid="{36C2C763-81DF-45D5-821A-CF0E3A703EC6}" keepAlive="1" name="쿼리 - DTDRresult0 0008" description="통합 문서의 'DTDRresult0 0008' 쿼리에 대한 연결입니다." type="5" refreshedVersion="8" background="1" saveData="1">
    <dbPr connection="Provider=Microsoft.Mashup.OleDb.1;Data Source=$Workbook$;Location=&quot;DTDRresult0 0008&quot;;Extended Properties=&quot;&quot;" command="SELECT * FROM [DTDRresult0 0008]"/>
  </connection>
  <connection id="14" xr16:uid="{D2352217-639F-47CF-BB8D-260AC5EE3399}" keepAlive="1" name="쿼리 - DTDRresult0 0009" description="통합 문서의 'DTDRresult0 0009' 쿼리에 대한 연결입니다." type="5" refreshedVersion="8" background="1" saveData="1">
    <dbPr connection="Provider=Microsoft.Mashup.OleDb.1;Data Source=$Workbook$;Location=&quot;DTDRresult0 0009&quot;;Extended Properties=&quot;&quot;" command="SELECT * FROM [DTDRresult0 0009]"/>
  </connection>
  <connection id="15" xr16:uid="{FD96180F-71F4-4BF5-87C0-4355EB4E681D}" keepAlive="1" name="쿼리 - DTDRresult0 001" description="통합 문서의 'DTDRresult0 001' 쿼리에 대한 연결입니다." type="5" refreshedVersion="8" background="1" saveData="1">
    <dbPr connection="Provider=Microsoft.Mashup.OleDb.1;Data Source=$Workbook$;Location=&quot;DTDRresult0 001&quot;;Extended Properties=&quot;&quot;" command="SELECT * FROM [DTDRresult0 001]"/>
  </connection>
  <connection id="16" xr16:uid="{7BB92007-B1FD-47E6-9C75-673A5FAF69C5}" keepAlive="1" name="쿼리 - DTDRresult0 0011" description="통합 문서의 'DTDRresult0 0011' 쿼리에 대한 연결입니다." type="5" refreshedVersion="8" background="1" saveData="1">
    <dbPr connection="Provider=Microsoft.Mashup.OleDb.1;Data Source=$Workbook$;Location=&quot;DTDRresult0 0011&quot;;Extended Properties=&quot;&quot;" command="SELECT * FROM [DTDRresult0 0011]"/>
  </connection>
  <connection id="17" xr16:uid="{66F9DC1F-6236-43D9-93E7-F68CDEF5208F}" keepAlive="1" name="쿼리 - DTDRresult0 0012" description="통합 문서의 'DTDRresult0 0012' 쿼리에 대한 연결입니다." type="5" refreshedVersion="8" background="1" saveData="1">
    <dbPr connection="Provider=Microsoft.Mashup.OleDb.1;Data Source=$Workbook$;Location=&quot;DTDRresult0 0012&quot;;Extended Properties=&quot;&quot;" command="SELECT * FROM [DTDRresult0 0012]"/>
  </connection>
  <connection id="18" xr16:uid="{FFEF96F6-39F9-48AC-AB73-29C58F135175}" keepAlive="1" name="쿼리 - DTDRresult0 0013" description="통합 문서의 'DTDRresult0 0013' 쿼리에 대한 연결입니다." type="5" refreshedVersion="8" background="1" saveData="1">
    <dbPr connection="Provider=Microsoft.Mashup.OleDb.1;Data Source=$Workbook$;Location=&quot;DTDRresult0 0013&quot;;Extended Properties=&quot;&quot;" command="SELECT * FROM [DTDRresult0 0013]"/>
  </connection>
  <connection id="19" xr16:uid="{B47F747E-2679-4E37-BCDC-CFDF038F637D}" keepAlive="1" name="쿼리 - DTDRresult0 0014" description="통합 문서의 'DTDRresult0 0014' 쿼리에 대한 연결입니다." type="5" refreshedVersion="8" background="1" saveData="1">
    <dbPr connection="Provider=Microsoft.Mashup.OleDb.1;Data Source=$Workbook$;Location=&quot;DTDRresult0 0014&quot;;Extended Properties=&quot;&quot;" command="SELECT * FROM [DTDRresult0 0014]"/>
  </connection>
  <connection id="20" xr16:uid="{C2D0E82C-CEF7-4BF4-ADBC-C251FC553DF7}" keepAlive="1" name="쿼리 - DTDRresult0 0015" description="통합 문서의 'DTDRresult0 0015' 쿼리에 대한 연결입니다." type="5" refreshedVersion="8" background="1" saveData="1">
    <dbPr connection="Provider=Microsoft.Mashup.OleDb.1;Data Source=$Workbook$;Location=&quot;DTDRresult0 0015&quot;;Extended Properties=&quot;&quot;" command="SELECT * FROM [DTDRresult0 0015]"/>
  </connection>
  <connection id="21" xr16:uid="{1E8C5E46-5FD4-487C-878D-7535E1DADBB5}" keepAlive="1" name="쿼리 - DTDRresult0 0016" description="통합 문서의 'DTDRresult0 0016' 쿼리에 대한 연결입니다." type="5" refreshedVersion="8" background="1" saveData="1">
    <dbPr connection="Provider=Microsoft.Mashup.OleDb.1;Data Source=$Workbook$;Location=&quot;DTDRresult0 0016&quot;;Extended Properties=&quot;&quot;" command="SELECT * FROM [DTDRresult0 0016]"/>
  </connection>
  <connection id="22" xr16:uid="{FB72FA0B-D20C-4DEB-9209-CC9D6B26BFCD}" keepAlive="1" name="쿼리 - DTDRresult0 0017" description="통합 문서의 'DTDRresult0 0017' 쿼리에 대한 연결입니다." type="5" refreshedVersion="8" background="1" saveData="1">
    <dbPr connection="Provider=Microsoft.Mashup.OleDb.1;Data Source=$Workbook$;Location=&quot;DTDRresult0 0017&quot;;Extended Properties=&quot;&quot;" command="SELECT * FROM [DTDRresult0 0017]"/>
  </connection>
  <connection id="23" xr16:uid="{595B2A80-5C87-4793-B2B2-9E9D69CA6647}" keepAlive="1" name="쿼리 - DTDRresult0 0018" description="통합 문서의 'DTDRresult0 0018' 쿼리에 대한 연결입니다." type="5" refreshedVersion="8" background="1" saveData="1">
    <dbPr connection="Provider=Microsoft.Mashup.OleDb.1;Data Source=$Workbook$;Location=&quot;DTDRresult0 0018&quot;;Extended Properties=&quot;&quot;" command="SELECT * FROM [DTDRresult0 0018]"/>
  </connection>
  <connection id="24" xr16:uid="{BAF18F84-746B-47FE-B5B0-14BA0ED4FEE2}" keepAlive="1" name="쿼리 - OPSPFresult0 0008" description="통합 문서의 'OPSPFresult0 0008' 쿼리에 대한 연결입니다." type="5" refreshedVersion="8" background="1" saveData="1">
    <dbPr connection="Provider=Microsoft.Mashup.OleDb.1;Data Source=$Workbook$;Location=&quot;OPSPFresult0 0008&quot;;Extended Properties=&quot;&quot;" command="SELECT * FROM [OPSPFresult0 0008]"/>
  </connection>
  <connection id="25" xr16:uid="{9A2E49F5-C172-47D4-94CC-33AD970C72AB}" keepAlive="1" name="쿼리 - OPSPFresult0 0009" description="통합 문서의 'OPSPFresult0 0009' 쿼리에 대한 연결입니다." type="5" refreshedVersion="8" background="1" saveData="1">
    <dbPr connection="Provider=Microsoft.Mashup.OleDb.1;Data Source=$Workbook$;Location=&quot;OPSPFresult0 0009&quot;;Extended Properties=&quot;&quot;" command="SELECT * FROM [OPSPFresult0 0009]"/>
  </connection>
  <connection id="26" xr16:uid="{7CE61AF5-283D-431E-B48F-092C5333C47F}" keepAlive="1" name="쿼리 - OPSPFresult0 001" description="통합 문서의 'OPSPFresult0 001' 쿼리에 대한 연결입니다." type="5" refreshedVersion="8" background="1" saveData="1">
    <dbPr connection="Provider=Microsoft.Mashup.OleDb.1;Data Source=$Workbook$;Location=&quot;OPSPFresult0 001&quot;;Extended Properties=&quot;&quot;" command="SELECT * FROM [OPSPFresult0 001]"/>
  </connection>
  <connection id="27" xr16:uid="{01E58B06-1EDE-4A90-B385-17A03987C373}" keepAlive="1" name="쿼리 - OPSPFresult0 0011" description="통합 문서의 'OPSPFresult0 0011' 쿼리에 대한 연결입니다." type="5" refreshedVersion="8" background="1" saveData="1">
    <dbPr connection="Provider=Microsoft.Mashup.OleDb.1;Data Source=$Workbook$;Location=&quot;OPSPFresult0 0011&quot;;Extended Properties=&quot;&quot;" command="SELECT * FROM [OPSPFresult0 0011]"/>
  </connection>
  <connection id="28" xr16:uid="{80FC4800-BBD4-4EAF-9680-C7B2F92CD0F3}" keepAlive="1" name="쿼리 - OPSPFresult0 0012" description="통합 문서의 'OPSPFresult0 0012' 쿼리에 대한 연결입니다." type="5" refreshedVersion="8" background="1" saveData="1">
    <dbPr connection="Provider=Microsoft.Mashup.OleDb.1;Data Source=$Workbook$;Location=&quot;OPSPFresult0 0012&quot;;Extended Properties=&quot;&quot;" command="SELECT * FROM [OPSPFresult0 0012]"/>
  </connection>
  <connection id="29" xr16:uid="{7BBCB820-E916-4FA4-8B27-3B358693312C}" keepAlive="1" name="쿼리 - OPSPFresult0 0013" description="통합 문서의 'OPSPFresult0 0013' 쿼리에 대한 연결입니다." type="5" refreshedVersion="8" background="1" saveData="1">
    <dbPr connection="Provider=Microsoft.Mashup.OleDb.1;Data Source=$Workbook$;Location=&quot;OPSPFresult0 0013&quot;;Extended Properties=&quot;&quot;" command="SELECT * FROM [OPSPFresult0 0013]"/>
  </connection>
  <connection id="30" xr16:uid="{D834CB9C-40FB-4A9E-9A55-BDC0DA894C0B}" keepAlive="1" name="쿼리 - OPSPFresult0 0014" description="통합 문서의 'OPSPFresult0 0014' 쿼리에 대한 연결입니다." type="5" refreshedVersion="8" background="1" saveData="1">
    <dbPr connection="Provider=Microsoft.Mashup.OleDb.1;Data Source=$Workbook$;Location=&quot;OPSPFresult0 0014&quot;;Extended Properties=&quot;&quot;" command="SELECT * FROM [OPSPFresult0 0014]"/>
  </connection>
  <connection id="31" xr16:uid="{B84C90A4-5E53-4E67-8DA6-577578E6242C}" keepAlive="1" name="쿼리 - OPSPFresult0 0015" description="통합 문서의 'OPSPFresult0 0015' 쿼리에 대한 연결입니다." type="5" refreshedVersion="8" background="1" saveData="1">
    <dbPr connection="Provider=Microsoft.Mashup.OleDb.1;Data Source=$Workbook$;Location=&quot;OPSPFresult0 0015&quot;;Extended Properties=&quot;&quot;" command="SELECT * FROM [OPSPFresult0 0015]"/>
  </connection>
  <connection id="32" xr16:uid="{7D9904CF-9999-4E03-9DA6-1B7A5FF2FD61}" keepAlive="1" name="쿼리 - OPSPFresult0 0016" description="통합 문서의 'OPSPFresult0 0016' 쿼리에 대한 연결입니다." type="5" refreshedVersion="8" background="1" saveData="1">
    <dbPr connection="Provider=Microsoft.Mashup.OleDb.1;Data Source=$Workbook$;Location=&quot;OPSPFresult0 0016&quot;;Extended Properties=&quot;&quot;" command="SELECT * FROM [OPSPFresult0 0016]"/>
  </connection>
  <connection id="33" xr16:uid="{3CEC649F-7931-408D-84E1-D04C3AAB39DA}" keepAlive="1" name="쿼리 - OPSPFresult0 0017" description="통합 문서의 'OPSPFresult0 0017' 쿼리에 대한 연결입니다." type="5" refreshedVersion="8" background="1" saveData="1">
    <dbPr connection="Provider=Microsoft.Mashup.OleDb.1;Data Source=$Workbook$;Location=&quot;OPSPFresult0 0017&quot;;Extended Properties=&quot;&quot;" command="SELECT * FROM [OPSPFresult0 0017]"/>
  </connection>
  <connection id="34" xr16:uid="{B50879FE-079E-45CA-9B4A-192C5D7F0416}" keepAlive="1" name="쿼리 - OPSPFresult0 0018" description="통합 문서의 'OPSPFresult0 0018' 쿼리에 대한 연결입니다." type="5" refreshedVersion="8" background="1" saveData="1">
    <dbPr connection="Provider=Microsoft.Mashup.OleDb.1;Data Source=$Workbook$;Location=&quot;OPSPFresult0 0018&quot;;Extended Properties=&quot;&quot;" command="SELECT * FROM [OPSPFresult0 0018]"/>
  </connection>
  <connection id="35" xr16:uid="{64F3DAE6-8E69-4271-9BE5-797F2FB98F74}" keepAlive="1" name="쿼리 - OPSPFresult999" description="통합 문서의 'OPSPFresult999' 쿼리에 대한 연결입니다." type="5" refreshedVersion="8" background="1" saveData="1">
    <dbPr connection="Provider=Microsoft.Mashup.OleDb.1;Data Source=$Workbook$;Location=OPSPFresult999;Extended Properties=&quot;&quot;" command="SELECT * FROM [OPSPFresult999]"/>
  </connection>
</connections>
</file>

<file path=xl/sharedStrings.xml><?xml version="1.0" encoding="utf-8"?>
<sst xmlns="http://schemas.openxmlformats.org/spreadsheetml/2006/main" count="52" uniqueCount="17">
  <si>
    <t>DTDR</t>
    <phoneticPr fontId="1" type="noConversion"/>
  </si>
  <si>
    <t>DDR</t>
    <phoneticPr fontId="1" type="noConversion"/>
  </si>
  <si>
    <t>OPSPF</t>
    <phoneticPr fontId="1" type="noConversion"/>
  </si>
  <si>
    <t>gamma</t>
  </si>
  <si>
    <t>avg hops</t>
  </si>
  <si>
    <t>avg prop</t>
  </si>
  <si>
    <t>sum fails</t>
  </si>
  <si>
    <t>avg fails</t>
  </si>
  <si>
    <t>sum overhead msg</t>
  </si>
  <si>
    <t>avg overhead msg</t>
  </si>
  <si>
    <t>DDRwG</t>
    <phoneticPr fontId="1" type="noConversion"/>
  </si>
  <si>
    <t>DTDRwG</t>
    <phoneticPr fontId="1" type="noConversion"/>
  </si>
  <si>
    <t>OPSPFwG</t>
    <phoneticPr fontId="1" type="noConversion"/>
  </si>
  <si>
    <t>x축</t>
    <phoneticPr fontId="1" type="noConversion"/>
  </si>
  <si>
    <t>24.53865067466267,86.85818723224057</t>
  </si>
  <si>
    <t>optimal hop</t>
    <phoneticPr fontId="1" type="noConversion"/>
  </si>
  <si>
    <t>optimal e2e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</si>
</sst>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quotePrefix="1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data!$B$3:$B$13</c:f>
              <c:numCache>
                <c:formatCode>General</c:formatCode>
                <c:ptCount val="11"/>
                <c:pt idx="0">
                  <c:v>40.587996001999002</c:v>
                </c:pt>
                <c:pt idx="1">
                  <c:v>38.051264367816003</c:v>
                </c:pt>
                <c:pt idx="2">
                  <c:v>36.727826086956497</c:v>
                </c:pt>
                <c:pt idx="3">
                  <c:v>34.976691654172903</c:v>
                </c:pt>
                <c:pt idx="4">
                  <c:v>33.701579210394797</c:v>
                </c:pt>
                <c:pt idx="5">
                  <c:v>32.669155422288803</c:v>
                </c:pt>
                <c:pt idx="6">
                  <c:v>31.303688155922</c:v>
                </c:pt>
                <c:pt idx="7">
                  <c:v>30.600439780109902</c:v>
                </c:pt>
                <c:pt idx="8">
                  <c:v>29.281439280359798</c:v>
                </c:pt>
                <c:pt idx="9">
                  <c:v>28.428275862068901</c:v>
                </c:pt>
                <c:pt idx="10">
                  <c:v>27.307146426786598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91-419A-9E07-C3A854804D5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data!$J$3:$J$13</c:f>
              <c:numCache>
                <c:formatCode>General</c:formatCode>
                <c:ptCount val="11"/>
                <c:pt idx="0">
                  <c:v>25.722418790604699</c:v>
                </c:pt>
                <c:pt idx="1">
                  <c:v>25.5968815592203</c:v>
                </c:pt>
                <c:pt idx="2">
                  <c:v>25.562288855572199</c:v>
                </c:pt>
                <c:pt idx="3">
                  <c:v>25.522798600699598</c:v>
                </c:pt>
                <c:pt idx="4">
                  <c:v>25.33201399</c:v>
                </c:pt>
                <c:pt idx="5">
                  <c:v>25.27149425</c:v>
                </c:pt>
                <c:pt idx="6">
                  <c:v>25.243178409999999</c:v>
                </c:pt>
                <c:pt idx="7">
                  <c:v>25.07311344</c:v>
                </c:pt>
                <c:pt idx="8">
                  <c:v>25.00367816</c:v>
                </c:pt>
                <c:pt idx="9">
                  <c:v>25.035572210000002</c:v>
                </c:pt>
                <c:pt idx="10">
                  <c:v>24.819900050000001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91-419A-9E07-C3A854804D5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data!$B$17:$B$27</c:f>
              <c:numCache>
                <c:formatCode>General</c:formatCode>
                <c:ptCount val="11"/>
                <c:pt idx="0">
                  <c:v>41.585260780041096</c:v>
                </c:pt>
                <c:pt idx="1">
                  <c:v>38.5413193403298</c:v>
                </c:pt>
                <c:pt idx="2">
                  <c:v>36.256071964017899</c:v>
                </c:pt>
                <c:pt idx="3">
                  <c:v>33.066126936531703</c:v>
                </c:pt>
                <c:pt idx="4">
                  <c:v>32.196031980000001</c:v>
                </c:pt>
                <c:pt idx="5">
                  <c:v>31.015652169999999</c:v>
                </c:pt>
                <c:pt idx="6">
                  <c:v>29.594292849999999</c:v>
                </c:pt>
                <c:pt idx="7">
                  <c:v>28.959010490000001</c:v>
                </c:pt>
                <c:pt idx="8">
                  <c:v>28.286176909999998</c:v>
                </c:pt>
                <c:pt idx="9">
                  <c:v>27.506576710000001</c:v>
                </c:pt>
                <c:pt idx="10">
                  <c:v>26.483428289999999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91-419A-9E07-C3A854804D5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data!$J$17:$J$27</c:f>
              <c:numCache>
                <c:formatCode>General</c:formatCode>
                <c:ptCount val="11"/>
                <c:pt idx="0">
                  <c:v>25.157141429999999</c:v>
                </c:pt>
                <c:pt idx="1">
                  <c:v>25.075702150000001</c:v>
                </c:pt>
                <c:pt idx="2">
                  <c:v>25.144677659999999</c:v>
                </c:pt>
                <c:pt idx="3">
                  <c:v>25.11894053</c:v>
                </c:pt>
                <c:pt idx="4">
                  <c:v>24.962268869999999</c:v>
                </c:pt>
                <c:pt idx="5">
                  <c:v>24.92835582</c:v>
                </c:pt>
                <c:pt idx="6">
                  <c:v>24.952043979999999</c:v>
                </c:pt>
                <c:pt idx="7">
                  <c:v>24.807995999999999</c:v>
                </c:pt>
                <c:pt idx="8">
                  <c:v>24.68882559</c:v>
                </c:pt>
                <c:pt idx="9">
                  <c:v>24.60172914</c:v>
                </c:pt>
                <c:pt idx="10">
                  <c:v>24.515902050000001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91-419A-9E07-C3A854804D5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data!$B$31:$B$41</c:f>
              <c:numCache>
                <c:formatCode>General</c:formatCode>
                <c:ptCount val="11"/>
                <c:pt idx="0">
                  <c:v>34.559870064967498</c:v>
                </c:pt>
                <c:pt idx="1">
                  <c:v>33.417521239380299</c:v>
                </c:pt>
                <c:pt idx="2">
                  <c:v>33.824507746126898</c:v>
                </c:pt>
                <c:pt idx="3">
                  <c:v>32.980819590204803</c:v>
                </c:pt>
                <c:pt idx="4">
                  <c:v>32.485607196401801</c:v>
                </c:pt>
                <c:pt idx="5">
                  <c:v>32.154682658670602</c:v>
                </c:pt>
                <c:pt idx="6">
                  <c:v>31.8291554222888</c:v>
                </c:pt>
                <c:pt idx="7">
                  <c:v>31.471734132933499</c:v>
                </c:pt>
                <c:pt idx="8">
                  <c:v>31.176531734132901</c:v>
                </c:pt>
                <c:pt idx="9">
                  <c:v>30.857771114442698</c:v>
                </c:pt>
                <c:pt idx="10">
                  <c:v>30.580729635182401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91-419A-9E07-C3A854804D5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data!$J$31:$J$41</c:f>
              <c:numCache>
                <c:formatCode>General</c:formatCode>
                <c:ptCount val="11"/>
                <c:pt idx="0">
                  <c:v>31.0516042</c:v>
                </c:pt>
                <c:pt idx="1">
                  <c:v>31.68111944</c:v>
                </c:pt>
                <c:pt idx="2">
                  <c:v>30.602558720000001</c:v>
                </c:pt>
                <c:pt idx="3">
                  <c:v>30.314542729999999</c:v>
                </c:pt>
                <c:pt idx="4">
                  <c:v>30.010324839999999</c:v>
                </c:pt>
                <c:pt idx="5">
                  <c:v>29.834272859999999</c:v>
                </c:pt>
                <c:pt idx="6">
                  <c:v>29.928785609999998</c:v>
                </c:pt>
                <c:pt idx="7">
                  <c:v>29.68685657</c:v>
                </c:pt>
                <c:pt idx="8">
                  <c:v>29.48013993</c:v>
                </c:pt>
                <c:pt idx="9">
                  <c:v>29.492663669999999</c:v>
                </c:pt>
                <c:pt idx="10">
                  <c:v>29.264407800000001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1-419A-9E07-C3A854804D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Average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hop counts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122079631459E-3"/>
              <c:y val="0.312666569945088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data!$D$3:$D$13</c:f>
              <c:numCache>
                <c:formatCode>General</c:formatCode>
                <c:ptCount val="11"/>
                <c:pt idx="0">
                  <c:v>917241</c:v>
                </c:pt>
                <c:pt idx="1">
                  <c:v>717981</c:v>
                </c:pt>
                <c:pt idx="2">
                  <c:v>635083</c:v>
                </c:pt>
                <c:pt idx="3">
                  <c:v>534017</c:v>
                </c:pt>
                <c:pt idx="4">
                  <c:v>465232</c:v>
                </c:pt>
                <c:pt idx="5">
                  <c:v>409712</c:v>
                </c:pt>
                <c:pt idx="6">
                  <c:v>343007</c:v>
                </c:pt>
                <c:pt idx="7">
                  <c:v>304307</c:v>
                </c:pt>
                <c:pt idx="8">
                  <c:v>240404</c:v>
                </c:pt>
                <c:pt idx="9">
                  <c:v>198375</c:v>
                </c:pt>
                <c:pt idx="10">
                  <c:v>140874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6B-4273-BE60-4157EA253EEB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data!$L$3:$L$13</c:f>
              <c:numCache>
                <c:formatCode>General</c:formatCode>
                <c:ptCount val="11"/>
                <c:pt idx="0">
                  <c:v>524948</c:v>
                </c:pt>
                <c:pt idx="1">
                  <c:v>463036</c:v>
                </c:pt>
                <c:pt idx="2">
                  <c:v>421567</c:v>
                </c:pt>
                <c:pt idx="3">
                  <c:v>381768</c:v>
                </c:pt>
                <c:pt idx="4">
                  <c:v>332229</c:v>
                </c:pt>
                <c:pt idx="5">
                  <c:v>291691</c:v>
                </c:pt>
                <c:pt idx="6">
                  <c:v>251203</c:v>
                </c:pt>
                <c:pt idx="7">
                  <c:v>217952</c:v>
                </c:pt>
                <c:pt idx="8">
                  <c:v>177395</c:v>
                </c:pt>
                <c:pt idx="9">
                  <c:v>148896</c:v>
                </c:pt>
                <c:pt idx="10">
                  <c:v>106651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6B-4273-BE60-4157EA253EEB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data!$D$17:$D$27</c:f>
              <c:numCache>
                <c:formatCode>General</c:formatCode>
                <c:ptCount val="11"/>
                <c:pt idx="0">
                  <c:v>543522</c:v>
                </c:pt>
                <c:pt idx="1">
                  <c:v>434944</c:v>
                </c:pt>
                <c:pt idx="2">
                  <c:v>356479</c:v>
                </c:pt>
                <c:pt idx="3">
                  <c:v>269013</c:v>
                </c:pt>
                <c:pt idx="4">
                  <c:v>242424</c:v>
                </c:pt>
                <c:pt idx="5">
                  <c:v>209193</c:v>
                </c:pt>
                <c:pt idx="6">
                  <c:v>167174</c:v>
                </c:pt>
                <c:pt idx="7">
                  <c:v>146961</c:v>
                </c:pt>
                <c:pt idx="8">
                  <c:v>124937</c:v>
                </c:pt>
                <c:pt idx="9">
                  <c:v>97560</c:v>
                </c:pt>
                <c:pt idx="10">
                  <c:v>64756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6B-4273-BE60-4157EA253EEB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data!$L$17:$L$27</c:f>
              <c:numCache>
                <c:formatCode>General</c:formatCode>
                <c:ptCount val="11"/>
                <c:pt idx="0">
                  <c:v>308119</c:v>
                </c:pt>
                <c:pt idx="1">
                  <c:v>269268</c:v>
                </c:pt>
                <c:pt idx="2">
                  <c:v>238810</c:v>
                </c:pt>
                <c:pt idx="3">
                  <c:v>209514</c:v>
                </c:pt>
                <c:pt idx="4">
                  <c:v>180895</c:v>
                </c:pt>
                <c:pt idx="5">
                  <c:v>156911</c:v>
                </c:pt>
                <c:pt idx="6">
                  <c:v>133952</c:v>
                </c:pt>
                <c:pt idx="7">
                  <c:v>116756</c:v>
                </c:pt>
                <c:pt idx="8">
                  <c:v>98158</c:v>
                </c:pt>
                <c:pt idx="9">
                  <c:v>78548</c:v>
                </c:pt>
                <c:pt idx="10">
                  <c:v>53021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6B-4273-BE60-4157EA253EEB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data!$D$31:$D$41</c:f>
              <c:numCache>
                <c:formatCode>General</c:formatCode>
                <c:ptCount val="11"/>
                <c:pt idx="0">
                  <c:v>74411</c:v>
                </c:pt>
                <c:pt idx="1">
                  <c:v>63012</c:v>
                </c:pt>
                <c:pt idx="2">
                  <c:v>68422</c:v>
                </c:pt>
                <c:pt idx="3">
                  <c:v>57465</c:v>
                </c:pt>
                <c:pt idx="4">
                  <c:v>52791</c:v>
                </c:pt>
                <c:pt idx="5">
                  <c:v>47620</c:v>
                </c:pt>
                <c:pt idx="6">
                  <c:v>42255</c:v>
                </c:pt>
                <c:pt idx="7">
                  <c:v>37736</c:v>
                </c:pt>
                <c:pt idx="8">
                  <c:v>31911</c:v>
                </c:pt>
                <c:pt idx="9">
                  <c:v>25118</c:v>
                </c:pt>
                <c:pt idx="10">
                  <c:v>16256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6B-4273-BE60-4157EA253EEB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data!$L$31:$L$41</c:f>
              <c:numCache>
                <c:formatCode>General</c:formatCode>
                <c:ptCount val="11"/>
                <c:pt idx="0">
                  <c:v>67378</c:v>
                </c:pt>
                <c:pt idx="1">
                  <c:v>73637</c:v>
                </c:pt>
                <c:pt idx="2">
                  <c:v>61954</c:v>
                </c:pt>
                <c:pt idx="3">
                  <c:v>56921</c:v>
                </c:pt>
                <c:pt idx="4">
                  <c:v>52052</c:v>
                </c:pt>
                <c:pt idx="5">
                  <c:v>47053</c:v>
                </c:pt>
                <c:pt idx="6">
                  <c:v>42009</c:v>
                </c:pt>
                <c:pt idx="7">
                  <c:v>37320</c:v>
                </c:pt>
                <c:pt idx="8">
                  <c:v>31700</c:v>
                </c:pt>
                <c:pt idx="9">
                  <c:v>25033</c:v>
                </c:pt>
                <c:pt idx="10">
                  <c:v>16312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6B-4273-BE60-4157EA253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Sum of transmission failures (thousands)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5359988879262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data!$F$3:$F$13</c:f>
              <c:numCache>
                <c:formatCode>General</c:formatCode>
                <c:ptCount val="11"/>
                <c:pt idx="0">
                  <c:v>1170690</c:v>
                </c:pt>
                <c:pt idx="1">
                  <c:v>930785</c:v>
                </c:pt>
                <c:pt idx="2">
                  <c:v>810992</c:v>
                </c:pt>
                <c:pt idx="3">
                  <c:v>678211</c:v>
                </c:pt>
                <c:pt idx="4">
                  <c:v>580811</c:v>
                </c:pt>
                <c:pt idx="5">
                  <c:v>500536</c:v>
                </c:pt>
                <c:pt idx="6">
                  <c:v>410915</c:v>
                </c:pt>
                <c:pt idx="7">
                  <c:v>352760</c:v>
                </c:pt>
                <c:pt idx="8">
                  <c:v>270591</c:v>
                </c:pt>
                <c:pt idx="9">
                  <c:v>211128</c:v>
                </c:pt>
                <c:pt idx="10">
                  <c:v>137533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51-4321-B076-84822CFEAA03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data!$N$3:$N$13</c:f>
              <c:numCache>
                <c:formatCode>General</c:formatCode>
                <c:ptCount val="11"/>
                <c:pt idx="0">
                  <c:v>668852</c:v>
                </c:pt>
                <c:pt idx="1">
                  <c:v>584883</c:v>
                </c:pt>
                <c:pt idx="2">
                  <c:v>525124</c:v>
                </c:pt>
                <c:pt idx="3">
                  <c:v>469286</c:v>
                </c:pt>
                <c:pt idx="4">
                  <c:v>403594</c:v>
                </c:pt>
                <c:pt idx="5">
                  <c:v>351002</c:v>
                </c:pt>
                <c:pt idx="6">
                  <c:v>298051</c:v>
                </c:pt>
                <c:pt idx="7">
                  <c:v>254605</c:v>
                </c:pt>
                <c:pt idx="8">
                  <c:v>201707</c:v>
                </c:pt>
                <c:pt idx="9">
                  <c:v>160662</c:v>
                </c:pt>
                <c:pt idx="10">
                  <c:v>105043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51-4321-B076-84822CFEAA03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pattFill prst="ltDn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data!$F$17:$F$27</c:f>
              <c:numCache>
                <c:formatCode>General</c:formatCode>
                <c:ptCount val="11"/>
                <c:pt idx="0">
                  <c:v>2174088</c:v>
                </c:pt>
                <c:pt idx="1">
                  <c:v>1739776</c:v>
                </c:pt>
                <c:pt idx="2">
                  <c:v>1425916</c:v>
                </c:pt>
                <c:pt idx="3">
                  <c:v>1076052</c:v>
                </c:pt>
                <c:pt idx="4">
                  <c:v>969696</c:v>
                </c:pt>
                <c:pt idx="5">
                  <c:v>836772</c:v>
                </c:pt>
                <c:pt idx="6">
                  <c:v>668696</c:v>
                </c:pt>
                <c:pt idx="7">
                  <c:v>587844</c:v>
                </c:pt>
                <c:pt idx="8">
                  <c:v>499748</c:v>
                </c:pt>
                <c:pt idx="9">
                  <c:v>390240</c:v>
                </c:pt>
                <c:pt idx="10">
                  <c:v>259024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51-4321-B076-84822CFEAA03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data!$N$17:$N$27</c:f>
              <c:numCache>
                <c:formatCode>General</c:formatCode>
                <c:ptCount val="11"/>
                <c:pt idx="0">
                  <c:v>1232476</c:v>
                </c:pt>
                <c:pt idx="1">
                  <c:v>1077072</c:v>
                </c:pt>
                <c:pt idx="2">
                  <c:v>955240</c:v>
                </c:pt>
                <c:pt idx="3">
                  <c:v>838056</c:v>
                </c:pt>
                <c:pt idx="4">
                  <c:v>723580</c:v>
                </c:pt>
                <c:pt idx="5">
                  <c:v>627644</c:v>
                </c:pt>
                <c:pt idx="6">
                  <c:v>535808</c:v>
                </c:pt>
                <c:pt idx="7">
                  <c:v>467024</c:v>
                </c:pt>
                <c:pt idx="8">
                  <c:v>392632</c:v>
                </c:pt>
                <c:pt idx="9">
                  <c:v>314192</c:v>
                </c:pt>
                <c:pt idx="10">
                  <c:v>212084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51-4321-B076-84822CFEAA03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pattFill prst="ltDnDiag">
              <a:fgClr>
                <a:srgbClr val="FF0000"/>
              </a:fgClr>
              <a:bgClr>
                <a:schemeClr val="bg1"/>
              </a:bgClr>
            </a:pattFill>
            <a:ln>
              <a:solidFill>
                <a:srgbClr val="FF0000"/>
              </a:solidFill>
            </a:ln>
            <a:effectLst/>
          </c:spPr>
          <c:invertIfNegative val="0"/>
          <c:val>
            <c:numRef>
              <c:f>data!$F$31:$F$41</c:f>
              <c:numCache>
                <c:formatCode>General</c:formatCode>
                <c:ptCount val="11"/>
                <c:pt idx="0">
                  <c:v>353601072</c:v>
                </c:pt>
                <c:pt idx="1">
                  <c:v>299433024</c:v>
                </c:pt>
                <c:pt idx="2">
                  <c:v>325141344</c:v>
                </c:pt>
                <c:pt idx="3">
                  <c:v>273073680</c:v>
                </c:pt>
                <c:pt idx="4">
                  <c:v>250862832</c:v>
                </c:pt>
                <c:pt idx="5">
                  <c:v>226290240</c:v>
                </c:pt>
                <c:pt idx="6">
                  <c:v>200795760</c:v>
                </c:pt>
                <c:pt idx="7">
                  <c:v>179321472</c:v>
                </c:pt>
                <c:pt idx="8">
                  <c:v>151641072</c:v>
                </c:pt>
                <c:pt idx="9">
                  <c:v>119360736</c:v>
                </c:pt>
                <c:pt idx="10">
                  <c:v>77248512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51-4321-B076-84822CFEAA03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data!$N$31:$N$41</c:f>
              <c:numCache>
                <c:formatCode>General</c:formatCode>
                <c:ptCount val="11"/>
                <c:pt idx="0">
                  <c:v>320180256</c:v>
                </c:pt>
                <c:pt idx="1">
                  <c:v>349923024</c:v>
                </c:pt>
                <c:pt idx="2">
                  <c:v>294405408</c:v>
                </c:pt>
                <c:pt idx="3">
                  <c:v>270488592</c:v>
                </c:pt>
                <c:pt idx="4">
                  <c:v>247351104</c:v>
                </c:pt>
                <c:pt idx="5">
                  <c:v>223595856</c:v>
                </c:pt>
                <c:pt idx="6">
                  <c:v>199626768</c:v>
                </c:pt>
                <c:pt idx="7">
                  <c:v>177344640</c:v>
                </c:pt>
                <c:pt idx="8">
                  <c:v>150638400</c:v>
                </c:pt>
                <c:pt idx="9">
                  <c:v>118956816</c:v>
                </c:pt>
                <c:pt idx="10">
                  <c:v>77514624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51-4321-B076-84822CFEA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71"/>
        <c:axId val="63278767"/>
        <c:axId val="63271567"/>
      </c:bar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logBase val="10"/>
          <c:orientation val="minMax"/>
          <c:min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Sum of overhead signaling messages (X10,000)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22234611918205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between"/>
        <c:dispUnits>
          <c:builtInUnit val="tenThousands"/>
        </c:dispUnits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60792790832044319"/>
          <c:h val="5.65932022316305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data!$A$1</c:f>
              <c:strCache>
                <c:ptCount val="1"/>
                <c:pt idx="0">
                  <c:v>DDR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19050">
                <a:noFill/>
              </a:ln>
              <a:effectLst/>
            </c:spPr>
          </c:marker>
          <c:cat>
            <c:numRef>
              <c:f>data!$R$3:$R$13</c:f>
              <c:numCache>
                <c:formatCode>General</c:formatCode>
                <c:ptCount val="11"/>
                <c:pt idx="0">
                  <c:v>1</c:v>
                </c:pt>
                <c:pt idx="1">
                  <c:v>1.0250000000000001</c:v>
                </c:pt>
                <c:pt idx="2">
                  <c:v>1.05</c:v>
                </c:pt>
                <c:pt idx="3">
                  <c:v>1.075</c:v>
                </c:pt>
                <c:pt idx="4">
                  <c:v>1.1000000000000001</c:v>
                </c:pt>
                <c:pt idx="5">
                  <c:v>1.125</c:v>
                </c:pt>
                <c:pt idx="6">
                  <c:v>1.1499999999999999</c:v>
                </c:pt>
                <c:pt idx="7">
                  <c:v>1.175</c:v>
                </c:pt>
                <c:pt idx="8">
                  <c:v>1.2</c:v>
                </c:pt>
                <c:pt idx="9">
                  <c:v>1.2249999999999999</c:v>
                </c:pt>
                <c:pt idx="10">
                  <c:v>1.25</c:v>
                </c:pt>
              </c:numCache>
            </c:numRef>
          </c:cat>
          <c:val>
            <c:numRef>
              <c:f>data!$C$3:$C$13</c:f>
              <c:numCache>
                <c:formatCode>General</c:formatCode>
                <c:ptCount val="11"/>
                <c:pt idx="0">
                  <c:v>198.63862984742499</c:v>
                </c:pt>
                <c:pt idx="1">
                  <c:v>181.658278589719</c:v>
                </c:pt>
                <c:pt idx="2">
                  <c:v>172.492685991087</c:v>
                </c:pt>
                <c:pt idx="3">
                  <c:v>160.85259046850501</c:v>
                </c:pt>
                <c:pt idx="4">
                  <c:v>152.10987336442301</c:v>
                </c:pt>
                <c:pt idx="5">
                  <c:v>144.901837066095</c:v>
                </c:pt>
                <c:pt idx="6">
                  <c:v>135.66363859881099</c:v>
                </c:pt>
                <c:pt idx="7">
                  <c:v>130.70449506162299</c:v>
                </c:pt>
                <c:pt idx="8">
                  <c:v>121.8690773493</c:v>
                </c:pt>
                <c:pt idx="9">
                  <c:v>116.06921817550599</c:v>
                </c:pt>
                <c:pt idx="10">
                  <c:v>108.255762519917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AB-4472-A487-39D2F7F9F499}"/>
            </c:ext>
          </c:extLst>
        </c:ser>
        <c:ser>
          <c:idx val="0"/>
          <c:order val="1"/>
          <c:tx>
            <c:strRef>
              <c:f>data!$I$1</c:f>
              <c:strCache>
                <c:ptCount val="1"/>
                <c:pt idx="0">
                  <c:v>DDRwG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val>
            <c:numRef>
              <c:f>data!$K$3:$K$13</c:f>
              <c:numCache>
                <c:formatCode>General</c:formatCode>
                <c:ptCount val="11"/>
                <c:pt idx="0">
                  <c:v>127.02092863714699</c:v>
                </c:pt>
                <c:pt idx="1">
                  <c:v>123.617573505675</c:v>
                </c:pt>
                <c:pt idx="2">
                  <c:v>121.25306703478699</c:v>
                </c:pt>
                <c:pt idx="3">
                  <c:v>118.60038483360999</c:v>
                </c:pt>
                <c:pt idx="4">
                  <c:v>115.25186119999999</c:v>
                </c:pt>
                <c:pt idx="5">
                  <c:v>112.95021199999999</c:v>
                </c:pt>
                <c:pt idx="6">
                  <c:v>110.1467533</c:v>
                </c:pt>
                <c:pt idx="7">
                  <c:v>107.69130869999999</c:v>
                </c:pt>
                <c:pt idx="8">
                  <c:v>104.8887695</c:v>
                </c:pt>
                <c:pt idx="9">
                  <c:v>102.76488449999999</c:v>
                </c:pt>
                <c:pt idx="10">
                  <c:v>98.933883719999997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AB-4472-A487-39D2F7F9F499}"/>
            </c:ext>
          </c:extLst>
        </c:ser>
        <c:ser>
          <c:idx val="2"/>
          <c:order val="2"/>
          <c:tx>
            <c:strRef>
              <c:f>data!$A$15</c:f>
              <c:strCache>
                <c:ptCount val="1"/>
                <c:pt idx="0">
                  <c:v>DTDR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12700">
                <a:noFill/>
              </a:ln>
              <a:effectLst/>
            </c:spPr>
          </c:marker>
          <c:val>
            <c:numRef>
              <c:f>data!$C$17:$C$27</c:f>
              <c:numCache>
                <c:formatCode>General</c:formatCode>
                <c:ptCount val="11"/>
                <c:pt idx="0">
                  <c:v>205.423577230484</c:v>
                </c:pt>
                <c:pt idx="1">
                  <c:v>185.358622730777</c:v>
                </c:pt>
                <c:pt idx="2">
                  <c:v>170.13528032900601</c:v>
                </c:pt>
                <c:pt idx="3">
                  <c:v>148.91199308475299</c:v>
                </c:pt>
                <c:pt idx="4">
                  <c:v>142.94115669999999</c:v>
                </c:pt>
                <c:pt idx="5">
                  <c:v>134.70093249999999</c:v>
                </c:pt>
                <c:pt idx="6">
                  <c:v>125.009029</c:v>
                </c:pt>
                <c:pt idx="7">
                  <c:v>120.6934493</c:v>
                </c:pt>
                <c:pt idx="8">
                  <c:v>115.94620930000001</c:v>
                </c:pt>
                <c:pt idx="9">
                  <c:v>110.3882586</c:v>
                </c:pt>
                <c:pt idx="10">
                  <c:v>103.45763460000001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B-4472-A487-39D2F7F9F499}"/>
            </c:ext>
          </c:extLst>
        </c:ser>
        <c:ser>
          <c:idx val="3"/>
          <c:order val="3"/>
          <c:tx>
            <c:strRef>
              <c:f>data!$I$15</c:f>
              <c:strCache>
                <c:ptCount val="1"/>
                <c:pt idx="0">
                  <c:v>DTDRwG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triangle"/>
            <c:size val="10"/>
            <c:spPr>
              <a:solidFill>
                <a:schemeClr val="bg2">
                  <a:lumMod val="50000"/>
                </a:schemeClr>
              </a:solidFill>
              <a:ln w="9525">
                <a:noFill/>
              </a:ln>
              <a:effectLst/>
            </c:spPr>
          </c:marker>
          <c:val>
            <c:numRef>
              <c:f>data!$K$17:$K$27</c:f>
              <c:numCache>
                <c:formatCode>General</c:formatCode>
                <c:ptCount val="11"/>
                <c:pt idx="0">
                  <c:v>124.1564678</c:v>
                </c:pt>
                <c:pt idx="1">
                  <c:v>120.93816289999999</c:v>
                </c:pt>
                <c:pt idx="2">
                  <c:v>118.69496220000001</c:v>
                </c:pt>
                <c:pt idx="3">
                  <c:v>115.8331017</c:v>
                </c:pt>
                <c:pt idx="4">
                  <c:v>113.0789936</c:v>
                </c:pt>
                <c:pt idx="5">
                  <c:v>110.7496269</c:v>
                </c:pt>
                <c:pt idx="6">
                  <c:v>108.113395</c:v>
                </c:pt>
                <c:pt idx="7">
                  <c:v>105.5511394</c:v>
                </c:pt>
                <c:pt idx="8">
                  <c:v>103.0726478</c:v>
                </c:pt>
                <c:pt idx="9">
                  <c:v>100.3880123</c:v>
                </c:pt>
                <c:pt idx="10">
                  <c:v>97.00313783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B-4472-A487-39D2F7F9F499}"/>
            </c:ext>
          </c:extLst>
        </c:ser>
        <c:ser>
          <c:idx val="4"/>
          <c:order val="4"/>
          <c:tx>
            <c:strRef>
              <c:f>data!$A$29</c:f>
              <c:strCache>
                <c:ptCount val="1"/>
                <c:pt idx="0">
                  <c:v>OPSPF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square"/>
            <c:size val="8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val>
            <c:numRef>
              <c:f>data!$C$31:$C$41</c:f>
              <c:numCache>
                <c:formatCode>General</c:formatCode>
                <c:ptCount val="11"/>
                <c:pt idx="0">
                  <c:v>159.201953969085</c:v>
                </c:pt>
                <c:pt idx="1">
                  <c:v>150.60490596428099</c:v>
                </c:pt>
                <c:pt idx="2">
                  <c:v>154.03232667006</c:v>
                </c:pt>
                <c:pt idx="3">
                  <c:v>147.58080733018801</c:v>
                </c:pt>
                <c:pt idx="4">
                  <c:v>144.15814895314301</c:v>
                </c:pt>
                <c:pt idx="5">
                  <c:v>141.64013690680301</c:v>
                </c:pt>
                <c:pt idx="6">
                  <c:v>139.18398865168899</c:v>
                </c:pt>
                <c:pt idx="7">
                  <c:v>136.58363798812101</c:v>
                </c:pt>
                <c:pt idx="8">
                  <c:v>134.351798294237</c:v>
                </c:pt>
                <c:pt idx="9">
                  <c:v>132.003378712461</c:v>
                </c:pt>
                <c:pt idx="10">
                  <c:v>129.97786432212999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AB-4472-A487-39D2F7F9F499}"/>
            </c:ext>
          </c:extLst>
        </c:ser>
        <c:ser>
          <c:idx val="5"/>
          <c:order val="5"/>
          <c:tx>
            <c:strRef>
              <c:f>data!$I$29</c:f>
              <c:strCache>
                <c:ptCount val="1"/>
                <c:pt idx="0">
                  <c:v>OPSPFwG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square"/>
            <c:size val="8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val>
            <c:numRef>
              <c:f>data!$K$31:$K$41</c:f>
              <c:numCache>
                <c:formatCode>General</c:formatCode>
                <c:ptCount val="11"/>
                <c:pt idx="0">
                  <c:v>145.21451870000001</c:v>
                </c:pt>
                <c:pt idx="1">
                  <c:v>150.16992210000001</c:v>
                </c:pt>
                <c:pt idx="2">
                  <c:v>141.7050811</c:v>
                </c:pt>
                <c:pt idx="3">
                  <c:v>138.9176827</c:v>
                </c:pt>
                <c:pt idx="4">
                  <c:v>136.30179050000001</c:v>
                </c:pt>
                <c:pt idx="5">
                  <c:v>134.3821691</c:v>
                </c:pt>
                <c:pt idx="6">
                  <c:v>133.26504170000001</c:v>
                </c:pt>
                <c:pt idx="7">
                  <c:v>131.15370129999999</c:v>
                </c:pt>
                <c:pt idx="8">
                  <c:v>129.120767</c:v>
                </c:pt>
                <c:pt idx="9">
                  <c:v>128.026116</c:v>
                </c:pt>
                <c:pt idx="10">
                  <c:v>126.1071443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AB-4472-A487-39D2F7F9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278767"/>
        <c:axId val="63271567"/>
      </c:lineChart>
      <c:catAx>
        <c:axId val="632787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b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Maximum tolerant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angular velocity (mrad/s)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0.3049139143885396"/>
              <c:y val="0.9251032063203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1567"/>
        <c:crosses val="autoZero"/>
        <c:auto val="1"/>
        <c:lblAlgn val="ctr"/>
        <c:lblOffset val="100"/>
        <c:noMultiLvlLbl val="0"/>
      </c:catAx>
      <c:valAx>
        <c:axId val="63271567"/>
        <c:scaling>
          <c:orientation val="minMax"/>
          <c:max val="21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ko-KR" sz="1800">
                    <a:solidFill>
                      <a:schemeClr val="tx1"/>
                    </a:solidFill>
                  </a:rPr>
                  <a:t>End</a:t>
                </a:r>
                <a:r>
                  <a:rPr lang="en-US" altLang="ko-KR" sz="1800" baseline="0">
                    <a:solidFill>
                      <a:schemeClr val="tx1"/>
                    </a:solidFill>
                  </a:rPr>
                  <a:t> to end propagation delay (ms)</a:t>
                </a:r>
                <a:endParaRPr lang="ko-KR" altLang="en-US" sz="1800">
                  <a:solidFill>
                    <a:schemeClr val="tx1"/>
                  </a:solidFill>
                </a:endParaRPr>
              </a:p>
            </c:rich>
          </c:tx>
          <c:layout>
            <c:manualLayout>
              <c:xMode val="edge"/>
              <c:yMode val="edge"/>
              <c:x val="6.581102627392324E-3"/>
              <c:y val="0.15359988879262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#,##0_);[Red]\(#,##0\)" sourceLinked="0"/>
        <c:majorTickMark val="in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278767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t"/>
      <c:layout>
        <c:manualLayout>
          <c:xMode val="edge"/>
          <c:yMode val="edge"/>
          <c:x val="0.19603599401999727"/>
          <c:y val="2.4567280848687884E-2"/>
          <c:w val="0.73702092722906187"/>
          <c:h val="5.677026910454956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419099</xdr:colOff>
      <xdr:row>1</xdr:row>
      <xdr:rowOff>133349</xdr:rowOff>
    </xdr:from>
    <xdr:to>
      <xdr:col>17</xdr:col>
      <xdr:colOff>466724</xdr:colOff>
      <xdr:row>28</xdr:row>
      <xdr:rowOff>161924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F8C8674-5719-478B-B833-7D7D5693C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1</xdr:row>
      <xdr:rowOff>0</xdr:rowOff>
    </xdr:from>
    <xdr:to>
      <xdr:col>17</xdr:col>
      <xdr:colOff>598761</xdr:colOff>
      <xdr:row>28</xdr:row>
      <xdr:rowOff>10839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73FFFA1-6A47-47AB-ACEB-2D8C341CA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485775</xdr:colOff>
      <xdr:row>0</xdr:row>
      <xdr:rowOff>171450</xdr:rowOff>
    </xdr:from>
    <xdr:to>
      <xdr:col>17</xdr:col>
      <xdr:colOff>570186</xdr:colOff>
      <xdr:row>27</xdr:row>
      <xdr:rowOff>182289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8AB5515-E2B0-440A-B5DB-B40BCB3C5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428625</xdr:colOff>
      <xdr:row>1</xdr:row>
      <xdr:rowOff>180975</xdr:rowOff>
    </xdr:from>
    <xdr:to>
      <xdr:col>16</xdr:col>
      <xdr:colOff>513036</xdr:colOff>
      <xdr:row>28</xdr:row>
      <xdr:rowOff>191814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F0650DE-9BD6-4C58-8D8D-6F543DB191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7519C-BCF1-431B-8A6B-7DEB49978D6C}">
  <dimension ref="A1:Y41"/>
  <sheetViews>
    <sheetView tabSelected="1" topLeftCell="B1" workbookViewId="0">
      <selection activeCell="O10" sqref="O10"/>
    </sheetView>
  </sheetViews>
  <sheetFormatPr defaultRowHeight="16.5" x14ac:dyDescent="0.3"/>
  <sheetData>
    <row r="1" spans="1:25" x14ac:dyDescent="0.3">
      <c r="A1" t="s">
        <v>1</v>
      </c>
      <c r="I1" t="s">
        <v>10</v>
      </c>
      <c r="S1" t="s">
        <v>15</v>
      </c>
      <c r="T1" t="s">
        <v>16</v>
      </c>
    </row>
    <row r="2" spans="1:25" x14ac:dyDescent="0.3">
      <c r="A2" t="s">
        <v>3</v>
      </c>
      <c r="B2" t="s">
        <v>4</v>
      </c>
      <c r="C2" t="s">
        <v>5</v>
      </c>
      <c r="D2" t="s">
        <v>6</v>
      </c>
      <c r="E2" t="s">
        <v>7</v>
      </c>
      <c r="F2" t="s">
        <v>8</v>
      </c>
      <c r="G2" t="s">
        <v>9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  <c r="R2" t="s">
        <v>13</v>
      </c>
      <c r="S2" t="s">
        <v>14</v>
      </c>
    </row>
    <row r="3" spans="1:25" x14ac:dyDescent="0.3">
      <c r="A3">
        <v>1E-3</v>
      </c>
      <c r="B3">
        <v>40.587996001999002</v>
      </c>
      <c r="C3">
        <v>198.63862984742499</v>
      </c>
      <c r="D3">
        <v>917241</v>
      </c>
      <c r="E3">
        <v>9.16782608695652</v>
      </c>
      <c r="F3">
        <v>1170690</v>
      </c>
      <c r="G3">
        <v>11.7010494752623</v>
      </c>
      <c r="I3">
        <v>1E-3</v>
      </c>
      <c r="J3">
        <v>25.722418790604699</v>
      </c>
      <c r="K3">
        <v>127.02092863714699</v>
      </c>
      <c r="L3">
        <v>524948</v>
      </c>
      <c r="M3">
        <v>5.2468565717141402</v>
      </c>
      <c r="N3">
        <v>668852</v>
      </c>
      <c r="O3">
        <v>6.6851774112943501</v>
      </c>
      <c r="R3">
        <f>A3*1000</f>
        <v>1</v>
      </c>
    </row>
    <row r="4" spans="1:25" x14ac:dyDescent="0.3">
      <c r="A4">
        <v>1.0250000000000001E-3</v>
      </c>
      <c r="B4">
        <v>38.051264367816003</v>
      </c>
      <c r="C4">
        <v>181.658278589719</v>
      </c>
      <c r="D4">
        <v>717981</v>
      </c>
      <c r="E4">
        <v>7.1762218890554701</v>
      </c>
      <c r="F4">
        <v>930785</v>
      </c>
      <c r="G4">
        <v>9.3031984007995998</v>
      </c>
      <c r="I4">
        <v>1.0250000000000001E-3</v>
      </c>
      <c r="J4">
        <v>25.5968815592203</v>
      </c>
      <c r="K4">
        <v>123.617573505675</v>
      </c>
      <c r="L4">
        <v>463036</v>
      </c>
      <c r="M4">
        <v>4.6280459770114897</v>
      </c>
      <c r="N4">
        <v>584883</v>
      </c>
      <c r="O4">
        <v>5.8459070464767597</v>
      </c>
      <c r="R4">
        <f t="shared" ref="R4:R13" si="0">A4*1000</f>
        <v>1.0250000000000001</v>
      </c>
    </row>
    <row r="5" spans="1:25" x14ac:dyDescent="0.3">
      <c r="A5">
        <v>1.0499999999999999E-3</v>
      </c>
      <c r="B5">
        <v>36.727826086956497</v>
      </c>
      <c r="C5">
        <v>172.492685991087</v>
      </c>
      <c r="D5">
        <v>635083</v>
      </c>
      <c r="E5">
        <v>6.3476561719140401</v>
      </c>
      <c r="F5">
        <v>810992</v>
      </c>
      <c r="G5">
        <v>8.1058670664667591</v>
      </c>
      <c r="I5">
        <v>1.0499999999999999E-3</v>
      </c>
      <c r="J5">
        <v>25.562288855572199</v>
      </c>
      <c r="K5">
        <v>121.25306703478699</v>
      </c>
      <c r="L5">
        <v>421567</v>
      </c>
      <c r="M5">
        <v>4.2135632183908003</v>
      </c>
      <c r="N5">
        <v>525124</v>
      </c>
      <c r="O5">
        <v>5.24861569215392</v>
      </c>
      <c r="R5">
        <f t="shared" si="0"/>
        <v>1.05</v>
      </c>
    </row>
    <row r="6" spans="1:25" x14ac:dyDescent="0.3">
      <c r="A6">
        <v>1.075E-3</v>
      </c>
      <c r="B6">
        <v>34.976691654172903</v>
      </c>
      <c r="C6">
        <v>160.85259046850501</v>
      </c>
      <c r="D6">
        <v>534017</v>
      </c>
      <c r="E6">
        <v>5.3375012493753102</v>
      </c>
      <c r="F6">
        <v>678211</v>
      </c>
      <c r="G6">
        <v>6.7787206396801603</v>
      </c>
      <c r="I6">
        <v>1.075E-3</v>
      </c>
      <c r="J6">
        <v>25.522798600699598</v>
      </c>
      <c r="K6">
        <v>118.60038483360999</v>
      </c>
      <c r="L6">
        <v>381768</v>
      </c>
      <c r="M6">
        <v>3.8157721139430198</v>
      </c>
      <c r="N6">
        <v>469286</v>
      </c>
      <c r="O6">
        <v>4.6905147426286797</v>
      </c>
      <c r="R6">
        <f t="shared" si="0"/>
        <v>1.075</v>
      </c>
    </row>
    <row r="7" spans="1:25" x14ac:dyDescent="0.3">
      <c r="A7">
        <v>1.1000000000000001E-3</v>
      </c>
      <c r="B7">
        <v>33.701579210394797</v>
      </c>
      <c r="C7">
        <v>152.10987336442301</v>
      </c>
      <c r="D7">
        <v>465232</v>
      </c>
      <c r="E7">
        <v>4.6499950024987502</v>
      </c>
      <c r="F7">
        <v>580811</v>
      </c>
      <c r="G7">
        <v>5.8052073963018396</v>
      </c>
      <c r="I7">
        <v>1.1000000000000001E-3</v>
      </c>
      <c r="J7">
        <v>25.33201399</v>
      </c>
      <c r="K7">
        <v>115.25186119999999</v>
      </c>
      <c r="L7">
        <v>332229</v>
      </c>
      <c r="M7">
        <v>3.3206296850000001</v>
      </c>
      <c r="N7">
        <v>403594</v>
      </c>
      <c r="O7">
        <v>4.0339230380000002</v>
      </c>
      <c r="R7">
        <f t="shared" si="0"/>
        <v>1.1000000000000001</v>
      </c>
    </row>
    <row r="8" spans="1:25" x14ac:dyDescent="0.3">
      <c r="A8">
        <v>1.1249999999999999E-3</v>
      </c>
      <c r="B8">
        <v>32.669155422288803</v>
      </c>
      <c r="C8">
        <v>144.901837066095</v>
      </c>
      <c r="D8">
        <v>409712</v>
      </c>
      <c r="E8">
        <v>4.0950724637681102</v>
      </c>
      <c r="F8">
        <v>500536</v>
      </c>
      <c r="G8">
        <v>5.0028585707146398</v>
      </c>
      <c r="I8">
        <v>1.1249999999999999E-3</v>
      </c>
      <c r="J8">
        <v>25.27149425</v>
      </c>
      <c r="K8">
        <v>112.95021199999999</v>
      </c>
      <c r="L8">
        <v>291691</v>
      </c>
      <c r="M8">
        <v>2.9154522740000002</v>
      </c>
      <c r="N8">
        <v>351002</v>
      </c>
      <c r="O8">
        <v>3.508265867</v>
      </c>
      <c r="R8">
        <f t="shared" si="0"/>
        <v>1.125</v>
      </c>
    </row>
    <row r="9" spans="1:25" x14ac:dyDescent="0.3">
      <c r="A9">
        <v>1.15E-3</v>
      </c>
      <c r="B9">
        <v>31.303688155922</v>
      </c>
      <c r="C9">
        <v>135.66363859881099</v>
      </c>
      <c r="D9">
        <v>343007</v>
      </c>
      <c r="E9">
        <v>3.4283558220889501</v>
      </c>
      <c r="F9">
        <v>410915</v>
      </c>
      <c r="G9">
        <v>4.10709645177411</v>
      </c>
      <c r="I9">
        <v>1.15E-3</v>
      </c>
      <c r="J9">
        <v>25.243178409999999</v>
      </c>
      <c r="K9">
        <v>110.1467533</v>
      </c>
      <c r="L9">
        <v>251203</v>
      </c>
      <c r="M9">
        <v>2.5107746130000002</v>
      </c>
      <c r="N9">
        <v>298051</v>
      </c>
      <c r="O9">
        <v>2.9790204899999999</v>
      </c>
      <c r="R9">
        <f t="shared" si="0"/>
        <v>1.1499999999999999</v>
      </c>
    </row>
    <row r="10" spans="1:25" x14ac:dyDescent="0.3">
      <c r="A10">
        <v>1.175E-3</v>
      </c>
      <c r="B10">
        <v>30.600439780109902</v>
      </c>
      <c r="C10">
        <v>130.70449506162299</v>
      </c>
      <c r="D10">
        <v>304307</v>
      </c>
      <c r="E10">
        <v>3.0415492253873002</v>
      </c>
      <c r="F10">
        <v>352760</v>
      </c>
      <c r="G10">
        <v>3.5258370814592701</v>
      </c>
      <c r="I10">
        <v>1.175E-3</v>
      </c>
      <c r="J10">
        <v>25.07311344</v>
      </c>
      <c r="K10">
        <v>107.69130869999999</v>
      </c>
      <c r="L10">
        <v>217952</v>
      </c>
      <c r="M10">
        <v>2.1784307850000002</v>
      </c>
      <c r="N10">
        <v>254605</v>
      </c>
      <c r="O10">
        <v>2.5447776110000002</v>
      </c>
      <c r="R10">
        <f t="shared" si="0"/>
        <v>1.175</v>
      </c>
    </row>
    <row r="11" spans="1:25" x14ac:dyDescent="0.3">
      <c r="A11">
        <v>1.1999999999999999E-3</v>
      </c>
      <c r="B11">
        <v>29.281439280359798</v>
      </c>
      <c r="C11">
        <v>121.8690773493</v>
      </c>
      <c r="D11">
        <v>240404</v>
      </c>
      <c r="E11">
        <v>2.40283858070964</v>
      </c>
      <c r="F11">
        <v>270591</v>
      </c>
      <c r="G11">
        <v>2.7045577211394298</v>
      </c>
      <c r="I11">
        <v>1.1999999999999999E-3</v>
      </c>
      <c r="J11">
        <v>25.00367816</v>
      </c>
      <c r="K11">
        <v>104.8887695</v>
      </c>
      <c r="L11">
        <v>177395</v>
      </c>
      <c r="M11">
        <v>1.7730634679999999</v>
      </c>
      <c r="N11">
        <v>201707</v>
      </c>
      <c r="O11">
        <v>2.0160619689999999</v>
      </c>
      <c r="R11">
        <f t="shared" si="0"/>
        <v>1.2</v>
      </c>
    </row>
    <row r="12" spans="1:25" x14ac:dyDescent="0.3">
      <c r="A12">
        <v>1.225E-3</v>
      </c>
      <c r="B12">
        <v>28.428275862068901</v>
      </c>
      <c r="C12">
        <v>116.06921817550599</v>
      </c>
      <c r="D12">
        <v>198375</v>
      </c>
      <c r="E12">
        <v>1.9827586206896499</v>
      </c>
      <c r="F12">
        <v>211128</v>
      </c>
      <c r="G12">
        <v>2.1102248875562202</v>
      </c>
      <c r="I12">
        <v>1.225E-3</v>
      </c>
      <c r="J12">
        <v>25.035572210000002</v>
      </c>
      <c r="K12">
        <v>102.76488449999999</v>
      </c>
      <c r="L12">
        <v>148896</v>
      </c>
      <c r="M12">
        <v>1.4882158919999999</v>
      </c>
      <c r="N12">
        <v>160662</v>
      </c>
      <c r="O12">
        <v>1.605817091</v>
      </c>
      <c r="R12">
        <f t="shared" si="0"/>
        <v>1.2249999999999999</v>
      </c>
    </row>
    <row r="13" spans="1:25" x14ac:dyDescent="0.3">
      <c r="A13">
        <v>1.25E-3</v>
      </c>
      <c r="B13">
        <v>27.307146426786598</v>
      </c>
      <c r="C13">
        <v>108.255762519917</v>
      </c>
      <c r="D13">
        <v>140874</v>
      </c>
      <c r="E13">
        <v>1.4080359820089901</v>
      </c>
      <c r="F13">
        <v>137533</v>
      </c>
      <c r="G13">
        <v>1.37464267866066</v>
      </c>
      <c r="I13">
        <v>1.25E-3</v>
      </c>
      <c r="J13">
        <v>24.819900050000001</v>
      </c>
      <c r="K13">
        <v>98.933883719999997</v>
      </c>
      <c r="L13">
        <v>106651</v>
      </c>
      <c r="M13">
        <v>1.065977011</v>
      </c>
      <c r="N13">
        <v>105043</v>
      </c>
      <c r="O13">
        <v>1.049905047</v>
      </c>
      <c r="R13">
        <f t="shared" si="0"/>
        <v>1.25</v>
      </c>
    </row>
    <row r="15" spans="1:25" x14ac:dyDescent="0.3">
      <c r="A15" t="s">
        <v>0</v>
      </c>
      <c r="I15" t="s">
        <v>11</v>
      </c>
    </row>
    <row r="16" spans="1:25" x14ac:dyDescent="0.3">
      <c r="A16" t="s">
        <v>3</v>
      </c>
      <c r="B16" t="s">
        <v>4</v>
      </c>
      <c r="C16" t="s">
        <v>5</v>
      </c>
      <c r="D16" t="s">
        <v>6</v>
      </c>
      <c r="E16" t="s">
        <v>7</v>
      </c>
      <c r="F16" t="s">
        <v>8</v>
      </c>
      <c r="G16" t="s">
        <v>9</v>
      </c>
      <c r="I16" t="s">
        <v>3</v>
      </c>
      <c r="J16" t="s">
        <v>4</v>
      </c>
      <c r="K16" t="s">
        <v>5</v>
      </c>
      <c r="L16" t="s">
        <v>6</v>
      </c>
      <c r="M16" t="s">
        <v>7</v>
      </c>
      <c r="N16" t="s">
        <v>8</v>
      </c>
      <c r="O16" t="s">
        <v>9</v>
      </c>
      <c r="S16">
        <v>1E-3</v>
      </c>
      <c r="T16">
        <v>40.587996001999002</v>
      </c>
      <c r="U16">
        <v>198.63862984742499</v>
      </c>
      <c r="V16">
        <v>917241</v>
      </c>
      <c r="W16">
        <v>9.16782608695652</v>
      </c>
      <c r="X16">
        <v>1170690</v>
      </c>
      <c r="Y16">
        <v>11.7010494752623</v>
      </c>
    </row>
    <row r="17" spans="1:25" x14ac:dyDescent="0.3">
      <c r="A17">
        <v>1E-3</v>
      </c>
      <c r="B17">
        <v>41.585260780041096</v>
      </c>
      <c r="C17">
        <v>205.423577230484</v>
      </c>
      <c r="D17">
        <v>543522</v>
      </c>
      <c r="E17">
        <v>5.43272094836375</v>
      </c>
      <c r="F17">
        <v>2174088</v>
      </c>
      <c r="G17">
        <v>21.730883793455</v>
      </c>
      <c r="I17">
        <v>1E-3</v>
      </c>
      <c r="J17">
        <v>25.157141429999999</v>
      </c>
      <c r="K17">
        <v>124.1564678</v>
      </c>
      <c r="L17">
        <v>308119</v>
      </c>
      <c r="M17">
        <v>3.0796501749999998</v>
      </c>
      <c r="N17">
        <v>1232476</v>
      </c>
      <c r="O17">
        <v>12.318600699999999</v>
      </c>
      <c r="S17">
        <v>1.0250000000000001E-3</v>
      </c>
      <c r="T17">
        <v>38.051264367816003</v>
      </c>
      <c r="U17">
        <v>181.658278589719</v>
      </c>
      <c r="V17">
        <v>717981</v>
      </c>
      <c r="W17">
        <v>7.1762218890554701</v>
      </c>
      <c r="X17">
        <v>930785</v>
      </c>
      <c r="Y17">
        <v>9.3031984007995998</v>
      </c>
    </row>
    <row r="18" spans="1:25" x14ac:dyDescent="0.3">
      <c r="A18">
        <v>1.0250000000000001E-3</v>
      </c>
      <c r="B18">
        <v>38.5413193403298</v>
      </c>
      <c r="C18">
        <v>185.358622730777</v>
      </c>
      <c r="D18">
        <v>434944</v>
      </c>
      <c r="E18">
        <v>4.3472663668165898</v>
      </c>
      <c r="F18">
        <v>1739776</v>
      </c>
      <c r="G18">
        <v>17.389065467266299</v>
      </c>
      <c r="I18">
        <v>1.0250000000000001E-3</v>
      </c>
      <c r="J18">
        <v>25.075702150000001</v>
      </c>
      <c r="K18">
        <v>120.93816289999999</v>
      </c>
      <c r="L18">
        <v>269268</v>
      </c>
      <c r="M18">
        <v>2.6913343329999999</v>
      </c>
      <c r="N18">
        <v>1077072</v>
      </c>
      <c r="O18">
        <v>10.765337329999999</v>
      </c>
      <c r="S18">
        <v>1.0499999999999999E-3</v>
      </c>
      <c r="T18">
        <v>36.727826086956497</v>
      </c>
      <c r="U18">
        <v>172.492685991087</v>
      </c>
      <c r="V18">
        <v>635083</v>
      </c>
      <c r="W18">
        <v>6.3476561719140401</v>
      </c>
      <c r="X18">
        <v>810992</v>
      </c>
      <c r="Y18">
        <v>8.1058670664667591</v>
      </c>
    </row>
    <row r="19" spans="1:25" x14ac:dyDescent="0.3">
      <c r="A19">
        <v>1.0499999999999999E-3</v>
      </c>
      <c r="B19">
        <v>36.256071964017899</v>
      </c>
      <c r="C19">
        <v>170.13528032900601</v>
      </c>
      <c r="D19">
        <v>356479</v>
      </c>
      <c r="E19">
        <v>3.5630084957521202</v>
      </c>
      <c r="F19">
        <v>1425916</v>
      </c>
      <c r="G19">
        <v>14.252033983008401</v>
      </c>
      <c r="I19">
        <v>1.0499999999999999E-3</v>
      </c>
      <c r="J19">
        <v>25.144677659999999</v>
      </c>
      <c r="K19">
        <v>118.69496220000001</v>
      </c>
      <c r="L19">
        <v>238810</v>
      </c>
      <c r="M19">
        <v>2.3869065470000002</v>
      </c>
      <c r="N19">
        <v>955240</v>
      </c>
      <c r="O19">
        <v>9.5476261870000005</v>
      </c>
      <c r="S19">
        <v>1.075E-3</v>
      </c>
      <c r="T19">
        <v>34.976691654172903</v>
      </c>
      <c r="U19">
        <v>160.85259046850501</v>
      </c>
      <c r="V19">
        <v>534017</v>
      </c>
      <c r="W19">
        <v>5.3375012493753102</v>
      </c>
      <c r="X19">
        <v>678211</v>
      </c>
      <c r="Y19">
        <v>6.7787206396801603</v>
      </c>
    </row>
    <row r="20" spans="1:25" x14ac:dyDescent="0.3">
      <c r="A20">
        <v>1.075E-3</v>
      </c>
      <c r="B20">
        <v>33.066126936531703</v>
      </c>
      <c r="C20">
        <v>148.91199308475299</v>
      </c>
      <c r="D20">
        <v>269013</v>
      </c>
      <c r="E20">
        <v>2.6887856071964</v>
      </c>
      <c r="F20">
        <v>1076052</v>
      </c>
      <c r="G20">
        <v>10.7551424287856</v>
      </c>
      <c r="I20">
        <v>1.075E-3</v>
      </c>
      <c r="J20">
        <v>25.11894053</v>
      </c>
      <c r="K20">
        <v>115.8331017</v>
      </c>
      <c r="L20">
        <v>209514</v>
      </c>
      <c r="M20">
        <v>2.0940929540000002</v>
      </c>
      <c r="N20">
        <v>838056</v>
      </c>
      <c r="O20">
        <v>8.3763718140000005</v>
      </c>
    </row>
    <row r="21" spans="1:25" x14ac:dyDescent="0.3">
      <c r="A21">
        <v>1.1000000000000001E-3</v>
      </c>
      <c r="B21">
        <v>32.196031980000001</v>
      </c>
      <c r="C21">
        <v>142.94115669999999</v>
      </c>
      <c r="D21">
        <v>242424</v>
      </c>
      <c r="E21">
        <v>2.4230284860000002</v>
      </c>
      <c r="F21">
        <v>969696</v>
      </c>
      <c r="G21">
        <v>9.6921139430000007</v>
      </c>
      <c r="I21">
        <v>1.1000000000000001E-3</v>
      </c>
      <c r="J21">
        <v>24.962268869999999</v>
      </c>
      <c r="K21">
        <v>113.0789936</v>
      </c>
      <c r="L21">
        <v>180895</v>
      </c>
      <c r="M21">
        <v>1.8080459769999999</v>
      </c>
      <c r="N21">
        <v>723580</v>
      </c>
      <c r="O21">
        <v>7.2321839079999997</v>
      </c>
    </row>
    <row r="22" spans="1:25" x14ac:dyDescent="0.3">
      <c r="A22">
        <v>1.1249999999999999E-3</v>
      </c>
      <c r="B22">
        <v>31.015652169999999</v>
      </c>
      <c r="C22">
        <v>134.70093249999999</v>
      </c>
      <c r="D22">
        <v>209193</v>
      </c>
      <c r="E22">
        <v>2.0908845579999999</v>
      </c>
      <c r="F22">
        <v>836772</v>
      </c>
      <c r="G22">
        <v>8.3635382309999997</v>
      </c>
      <c r="I22">
        <v>1.1249999999999999E-3</v>
      </c>
      <c r="J22">
        <v>24.92835582</v>
      </c>
      <c r="K22">
        <v>110.7496269</v>
      </c>
      <c r="L22">
        <v>156911</v>
      </c>
      <c r="M22">
        <v>1.5683258369999999</v>
      </c>
      <c r="N22">
        <v>627644</v>
      </c>
      <c r="O22">
        <v>6.2733033479999998</v>
      </c>
    </row>
    <row r="23" spans="1:25" x14ac:dyDescent="0.3">
      <c r="A23">
        <v>1.15E-3</v>
      </c>
      <c r="B23">
        <v>29.594292849999999</v>
      </c>
      <c r="C23">
        <v>125.009029</v>
      </c>
      <c r="D23">
        <v>167174</v>
      </c>
      <c r="E23">
        <v>1.670904548</v>
      </c>
      <c r="F23">
        <v>668696</v>
      </c>
      <c r="G23">
        <v>6.6836181909999999</v>
      </c>
      <c r="I23">
        <v>1.15E-3</v>
      </c>
      <c r="J23">
        <v>24.952043979999999</v>
      </c>
      <c r="K23">
        <v>108.113395</v>
      </c>
      <c r="L23">
        <v>133952</v>
      </c>
      <c r="M23">
        <v>1.3388505749999999</v>
      </c>
      <c r="N23">
        <v>535808</v>
      </c>
      <c r="O23">
        <v>5.3554022989999996</v>
      </c>
    </row>
    <row r="24" spans="1:25" x14ac:dyDescent="0.3">
      <c r="A24">
        <v>1.175E-3</v>
      </c>
      <c r="B24">
        <v>28.959010490000001</v>
      </c>
      <c r="C24">
        <v>120.6934493</v>
      </c>
      <c r="D24">
        <v>146961</v>
      </c>
      <c r="E24">
        <v>1.468875562</v>
      </c>
      <c r="F24">
        <v>587844</v>
      </c>
      <c r="G24">
        <v>5.8755022490000002</v>
      </c>
      <c r="I24">
        <v>1.175E-3</v>
      </c>
      <c r="J24">
        <v>24.807995999999999</v>
      </c>
      <c r="K24">
        <v>105.5511394</v>
      </c>
      <c r="L24">
        <v>116756</v>
      </c>
      <c r="M24">
        <v>1.166976512</v>
      </c>
      <c r="N24">
        <v>467024</v>
      </c>
      <c r="O24">
        <v>4.6679060469999998</v>
      </c>
    </row>
    <row r="25" spans="1:25" x14ac:dyDescent="0.3">
      <c r="A25">
        <v>1.1999999999999999E-3</v>
      </c>
      <c r="B25">
        <v>28.286176909999998</v>
      </c>
      <c r="C25">
        <v>115.94620930000001</v>
      </c>
      <c r="D25">
        <v>124937</v>
      </c>
      <c r="E25">
        <v>1.2487456269999999</v>
      </c>
      <c r="F25">
        <v>499748</v>
      </c>
      <c r="G25">
        <v>4.9949825089999997</v>
      </c>
      <c r="I25">
        <v>1.1999999999999999E-3</v>
      </c>
      <c r="J25">
        <v>24.68882559</v>
      </c>
      <c r="K25">
        <v>103.0726478</v>
      </c>
      <c r="L25">
        <v>98158</v>
      </c>
      <c r="M25">
        <v>0.981089455</v>
      </c>
      <c r="N25">
        <v>392632</v>
      </c>
      <c r="O25">
        <v>3.9243578210000001</v>
      </c>
    </row>
    <row r="26" spans="1:25" x14ac:dyDescent="0.3">
      <c r="A26">
        <v>1.225E-3</v>
      </c>
      <c r="B26">
        <v>27.506576710000001</v>
      </c>
      <c r="C26">
        <v>110.3882586</v>
      </c>
      <c r="D26">
        <v>97560</v>
      </c>
      <c r="E26">
        <v>0.97511244399999997</v>
      </c>
      <c r="F26">
        <v>390240</v>
      </c>
      <c r="G26">
        <v>3.9004497749999998</v>
      </c>
      <c r="I26">
        <v>1.225E-3</v>
      </c>
      <c r="J26">
        <v>24.60172914</v>
      </c>
      <c r="K26">
        <v>100.3880123</v>
      </c>
      <c r="L26">
        <v>78548</v>
      </c>
      <c r="M26">
        <v>0.78508745599999996</v>
      </c>
      <c r="N26">
        <v>314192</v>
      </c>
      <c r="O26">
        <v>3.1403498249999999</v>
      </c>
    </row>
    <row r="27" spans="1:25" x14ac:dyDescent="0.3">
      <c r="A27">
        <v>1.25E-3</v>
      </c>
      <c r="B27">
        <v>26.483428289999999</v>
      </c>
      <c r="C27">
        <v>103.45763460000001</v>
      </c>
      <c r="D27">
        <v>64756</v>
      </c>
      <c r="E27">
        <v>0.647236382</v>
      </c>
      <c r="F27">
        <v>259024</v>
      </c>
      <c r="G27">
        <v>2.5889455269999999</v>
      </c>
      <c r="I27">
        <v>1.25E-3</v>
      </c>
      <c r="J27">
        <v>24.515902050000001</v>
      </c>
      <c r="K27">
        <v>97.00313783</v>
      </c>
      <c r="L27">
        <v>53021</v>
      </c>
      <c r="M27">
        <v>0.52994502700000001</v>
      </c>
      <c r="N27">
        <v>212084</v>
      </c>
      <c r="O27">
        <v>2.1197801100000002</v>
      </c>
    </row>
    <row r="29" spans="1:25" x14ac:dyDescent="0.3">
      <c r="A29" t="s">
        <v>2</v>
      </c>
      <c r="I29" t="s">
        <v>12</v>
      </c>
    </row>
    <row r="30" spans="1:25" x14ac:dyDescent="0.3">
      <c r="A30" t="s">
        <v>3</v>
      </c>
      <c r="B30" t="s">
        <v>4</v>
      </c>
      <c r="C30" t="s">
        <v>5</v>
      </c>
      <c r="D30" t="s">
        <v>6</v>
      </c>
      <c r="E30" t="s">
        <v>7</v>
      </c>
      <c r="F30" t="s">
        <v>8</v>
      </c>
      <c r="G30" t="s">
        <v>9</v>
      </c>
      <c r="I30" t="s">
        <v>3</v>
      </c>
      <c r="J30" t="s">
        <v>4</v>
      </c>
      <c r="K30" t="s">
        <v>5</v>
      </c>
      <c r="L30" t="s">
        <v>6</v>
      </c>
      <c r="M30" t="s">
        <v>7</v>
      </c>
      <c r="N30" t="s">
        <v>8</v>
      </c>
      <c r="O30" t="s">
        <v>9</v>
      </c>
    </row>
    <row r="31" spans="1:25" x14ac:dyDescent="0.3">
      <c r="A31">
        <v>1E-3</v>
      </c>
      <c r="B31" s="1">
        <v>34.559870064967498</v>
      </c>
      <c r="C31" s="1">
        <v>159.201953969085</v>
      </c>
      <c r="D31">
        <v>74411</v>
      </c>
      <c r="E31" s="1">
        <v>0.743738130934532</v>
      </c>
      <c r="F31">
        <v>353601072</v>
      </c>
      <c r="G31" s="1">
        <v>3534.2435982008901</v>
      </c>
      <c r="I31">
        <v>1.0250000000000001E-3</v>
      </c>
      <c r="J31">
        <v>31.0516042</v>
      </c>
      <c r="K31">
        <v>145.21451870000001</v>
      </c>
      <c r="L31">
        <v>67378</v>
      </c>
      <c r="M31">
        <v>0.67344327800000003</v>
      </c>
      <c r="N31">
        <v>320180256</v>
      </c>
      <c r="O31">
        <v>3200.2024590000001</v>
      </c>
    </row>
    <row r="32" spans="1:25" x14ac:dyDescent="0.3">
      <c r="A32">
        <v>1.0499999999999999E-3</v>
      </c>
      <c r="B32" s="1">
        <v>33.417521239380299</v>
      </c>
      <c r="C32" s="1">
        <v>150.60490596428099</v>
      </c>
      <c r="D32">
        <v>63012</v>
      </c>
      <c r="E32" s="1">
        <v>0.629805097451274</v>
      </c>
      <c r="F32">
        <v>299433024</v>
      </c>
      <c r="G32" s="1">
        <v>2992.8338230884501</v>
      </c>
      <c r="I32">
        <v>1E-3</v>
      </c>
      <c r="J32">
        <v>31.68111944</v>
      </c>
      <c r="K32">
        <v>150.16992210000001</v>
      </c>
      <c r="L32">
        <v>73637</v>
      </c>
      <c r="M32">
        <v>0.73600199899999996</v>
      </c>
      <c r="N32">
        <v>349923024</v>
      </c>
      <c r="O32">
        <v>3497.481499</v>
      </c>
    </row>
    <row r="33" spans="1:15" x14ac:dyDescent="0.3">
      <c r="A33">
        <v>1.0250000000000001E-3</v>
      </c>
      <c r="B33" s="1">
        <v>33.824507746126898</v>
      </c>
      <c r="C33" s="1">
        <v>154.03232667006</v>
      </c>
      <c r="D33">
        <v>68422</v>
      </c>
      <c r="E33" s="1">
        <v>0.68387806096951498</v>
      </c>
      <c r="F33">
        <v>325141344</v>
      </c>
      <c r="G33" s="1">
        <v>3249.78854572713</v>
      </c>
      <c r="I33">
        <v>1.0499999999999999E-3</v>
      </c>
      <c r="J33">
        <v>30.602558720000001</v>
      </c>
      <c r="K33">
        <v>141.7050811</v>
      </c>
      <c r="L33">
        <v>61954</v>
      </c>
      <c r="M33">
        <v>0.61923038500000005</v>
      </c>
      <c r="N33">
        <v>294405408</v>
      </c>
      <c r="O33">
        <v>2942.582789</v>
      </c>
    </row>
    <row r="34" spans="1:15" x14ac:dyDescent="0.3">
      <c r="A34">
        <v>1.075E-3</v>
      </c>
      <c r="B34" s="1">
        <v>32.980819590204803</v>
      </c>
      <c r="C34" s="1">
        <v>147.58080733018801</v>
      </c>
      <c r="D34">
        <v>57465</v>
      </c>
      <c r="E34" s="1">
        <v>0.57436281859070404</v>
      </c>
      <c r="F34">
        <v>273073680</v>
      </c>
      <c r="G34" s="1">
        <v>2729.3721139430199</v>
      </c>
      <c r="I34">
        <v>1.075E-3</v>
      </c>
      <c r="J34">
        <v>30.314542729999999</v>
      </c>
      <c r="K34">
        <v>138.9176827</v>
      </c>
      <c r="L34">
        <v>56921</v>
      </c>
      <c r="M34">
        <v>0.56892553700000004</v>
      </c>
      <c r="N34">
        <v>270488592</v>
      </c>
      <c r="O34">
        <v>2703.5341530000001</v>
      </c>
    </row>
    <row r="35" spans="1:15" x14ac:dyDescent="0.3">
      <c r="A35">
        <v>1.1000000000000001E-3</v>
      </c>
      <c r="B35">
        <v>32.485607196401801</v>
      </c>
      <c r="C35">
        <v>144.15814895314301</v>
      </c>
      <c r="D35">
        <v>52791</v>
      </c>
      <c r="E35" s="1">
        <v>0.52764617691154403</v>
      </c>
      <c r="F35">
        <v>250862832</v>
      </c>
      <c r="G35" s="1">
        <v>2507.3746326836499</v>
      </c>
      <c r="I35">
        <v>1.1000000000000001E-3</v>
      </c>
      <c r="J35">
        <v>30.010324839999999</v>
      </c>
      <c r="K35">
        <v>136.30179050000001</v>
      </c>
      <c r="L35">
        <v>52052</v>
      </c>
      <c r="M35">
        <v>0.52025986999999996</v>
      </c>
      <c r="N35">
        <v>247351104</v>
      </c>
      <c r="O35">
        <v>2472.274903</v>
      </c>
    </row>
    <row r="36" spans="1:15" x14ac:dyDescent="0.3">
      <c r="A36">
        <v>1.1249999999999999E-3</v>
      </c>
      <c r="B36" s="1">
        <v>32.154682658670602</v>
      </c>
      <c r="C36" s="1">
        <v>141.64013690680301</v>
      </c>
      <c r="D36">
        <v>47620</v>
      </c>
      <c r="E36" s="1">
        <v>0.475962018990504</v>
      </c>
      <c r="F36">
        <v>226290240</v>
      </c>
      <c r="G36" s="1">
        <v>2261.7715142428701</v>
      </c>
      <c r="I36">
        <v>1.1249999999999999E-3</v>
      </c>
      <c r="J36">
        <v>29.834272859999999</v>
      </c>
      <c r="K36">
        <v>134.3821691</v>
      </c>
      <c r="L36">
        <v>47053</v>
      </c>
      <c r="M36">
        <v>0.47029485300000001</v>
      </c>
      <c r="N36">
        <v>223595856</v>
      </c>
      <c r="O36">
        <v>2234.8411390000001</v>
      </c>
    </row>
    <row r="37" spans="1:15" x14ac:dyDescent="0.3">
      <c r="A37">
        <v>1.15E-3</v>
      </c>
      <c r="B37" s="1">
        <v>31.8291554222888</v>
      </c>
      <c r="C37" s="1">
        <v>139.18398865168899</v>
      </c>
      <c r="D37">
        <v>42255</v>
      </c>
      <c r="E37" s="1">
        <v>0.422338830584707</v>
      </c>
      <c r="F37">
        <v>200795760</v>
      </c>
      <c r="G37" s="1">
        <v>2006.95412293853</v>
      </c>
      <c r="I37">
        <v>1.15E-3</v>
      </c>
      <c r="J37">
        <v>29.928785609999998</v>
      </c>
      <c r="K37">
        <v>133.26504170000001</v>
      </c>
      <c r="L37">
        <v>42009</v>
      </c>
      <c r="M37">
        <v>0.41988006</v>
      </c>
      <c r="N37">
        <v>199626768</v>
      </c>
      <c r="O37">
        <v>1995.270045</v>
      </c>
    </row>
    <row r="38" spans="1:15" x14ac:dyDescent="0.3">
      <c r="A38">
        <v>1.175E-3</v>
      </c>
      <c r="B38" s="1">
        <v>31.471734132933499</v>
      </c>
      <c r="C38" s="1">
        <v>136.58363798812101</v>
      </c>
      <c r="D38">
        <v>37736</v>
      </c>
      <c r="E38" s="1">
        <v>0.377171414292853</v>
      </c>
      <c r="F38">
        <v>179321472</v>
      </c>
      <c r="G38" s="1">
        <v>1792.3185607196399</v>
      </c>
      <c r="I38">
        <v>1.175E-3</v>
      </c>
      <c r="J38">
        <v>29.68685657</v>
      </c>
      <c r="K38">
        <v>131.15370129999999</v>
      </c>
      <c r="L38">
        <v>37320</v>
      </c>
      <c r="M38">
        <v>0.37301349299999997</v>
      </c>
      <c r="N38">
        <v>177344640</v>
      </c>
      <c r="O38">
        <v>1772.5601200000001</v>
      </c>
    </row>
    <row r="39" spans="1:15" x14ac:dyDescent="0.3">
      <c r="A39">
        <v>1.1999999999999999E-3</v>
      </c>
      <c r="B39" s="1">
        <v>31.176531734132901</v>
      </c>
      <c r="C39" s="1">
        <v>134.351798294237</v>
      </c>
      <c r="D39">
        <v>31911</v>
      </c>
      <c r="E39" s="1">
        <v>0.31895052473763102</v>
      </c>
      <c r="F39">
        <v>151641072</v>
      </c>
      <c r="G39" s="1">
        <v>1515.6528935532201</v>
      </c>
      <c r="I39">
        <v>1.1999999999999999E-3</v>
      </c>
      <c r="J39">
        <v>29.48013993</v>
      </c>
      <c r="K39">
        <v>129.120767</v>
      </c>
      <c r="L39">
        <v>31700</v>
      </c>
      <c r="M39">
        <v>0.31684157899999998</v>
      </c>
      <c r="N39">
        <v>150638400</v>
      </c>
      <c r="O39">
        <v>1505.6311840000001</v>
      </c>
    </row>
    <row r="40" spans="1:15" x14ac:dyDescent="0.3">
      <c r="A40">
        <v>1.225E-3</v>
      </c>
      <c r="B40" s="1">
        <v>30.857771114442698</v>
      </c>
      <c r="C40" s="1">
        <v>132.003378712461</v>
      </c>
      <c r="D40">
        <v>25118</v>
      </c>
      <c r="E40" s="1">
        <v>0.25105447276361798</v>
      </c>
      <c r="F40">
        <v>119360736</v>
      </c>
      <c r="G40" s="1">
        <v>1193.0108545727101</v>
      </c>
      <c r="I40">
        <v>1.225E-3</v>
      </c>
      <c r="J40">
        <v>29.492663669999999</v>
      </c>
      <c r="K40">
        <v>128.026116</v>
      </c>
      <c r="L40">
        <v>25033</v>
      </c>
      <c r="M40">
        <v>0.25020489800000001</v>
      </c>
      <c r="N40">
        <v>118956816</v>
      </c>
      <c r="O40">
        <v>1188.973673</v>
      </c>
    </row>
    <row r="41" spans="1:15" x14ac:dyDescent="0.3">
      <c r="A41">
        <v>1.25E-3</v>
      </c>
      <c r="B41" s="1">
        <v>30.580729635182401</v>
      </c>
      <c r="C41" s="1">
        <v>129.97786432212999</v>
      </c>
      <c r="D41">
        <v>16256</v>
      </c>
      <c r="E41" s="1">
        <v>0.16247876061968999</v>
      </c>
      <c r="F41">
        <v>77248512</v>
      </c>
      <c r="G41" s="1">
        <v>772.09907046476701</v>
      </c>
      <c r="I41">
        <v>1.25E-3</v>
      </c>
      <c r="J41">
        <v>29.264407800000001</v>
      </c>
      <c r="K41">
        <v>126.1071443</v>
      </c>
      <c r="L41">
        <v>16312</v>
      </c>
      <c r="M41">
        <v>0.16303848100000001</v>
      </c>
      <c r="N41">
        <v>77514624</v>
      </c>
      <c r="O41">
        <v>774.75886060000005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8EAAF-6DFC-4CC6-B839-C4D695C5D307}">
  <dimension ref="A1"/>
  <sheetViews>
    <sheetView topLeftCell="A7" workbookViewId="0">
      <selection activeCell="T22" sqref="T22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FF6C-FE89-473F-BB3E-83760717BD4C}">
  <dimension ref="A1"/>
  <sheetViews>
    <sheetView topLeftCell="B7" zoomScaleNormal="100" workbookViewId="0">
      <selection activeCell="C28" sqref="C28"/>
    </sheetView>
  </sheetViews>
  <sheetFormatPr defaultRowHeight="16.5" x14ac:dyDescent="0.3"/>
  <cols>
    <col min="4" max="4" width="9" customWidth="1"/>
    <col min="5" max="5" width="14.125" customWidth="1"/>
  </cols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F11A-29B4-4A98-8B44-8748ECB79111}">
  <dimension ref="A1"/>
  <sheetViews>
    <sheetView topLeftCell="A7" workbookViewId="0">
      <selection activeCell="S24" sqref="S24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4DC77-BF48-4AA8-A8BE-9409BB03F524}">
  <dimension ref="A1"/>
  <sheetViews>
    <sheetView topLeftCell="A7" workbookViewId="0">
      <selection activeCell="R23" sqref="R23"/>
    </sheetView>
  </sheetViews>
  <sheetFormatPr defaultRowHeight="16.5" x14ac:dyDescent="0.3"/>
  <sheetData/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E1DCD5-3E37-4350-861D-D8B60DFE92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data</vt:lpstr>
      <vt:lpstr>hops</vt:lpstr>
      <vt:lpstr>fails</vt:lpstr>
      <vt:lpstr>overhead</vt:lpstr>
      <vt:lpstr>e2e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서권 김</dc:creator>
  <cp:lastModifiedBy>KIMSeoGwon</cp:lastModifiedBy>
  <dcterms:created xsi:type="dcterms:W3CDTF">2024-03-26T14:19:06Z</dcterms:created>
  <dcterms:modified xsi:type="dcterms:W3CDTF">2024-07-14T21:58:47Z</dcterms:modified>
</cp:coreProperties>
</file>