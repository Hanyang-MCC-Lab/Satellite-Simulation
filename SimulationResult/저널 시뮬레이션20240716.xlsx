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태성\PycharmProjects\Satellite-Simulation\SimulationResult\"/>
    </mc:Choice>
  </mc:AlternateContent>
  <xr:revisionPtr revIDLastSave="0" documentId="13_ncr:1_{1FED73AE-CC88-49DA-BE64-3B52434CEBE9}" xr6:coauthVersionLast="47" xr6:coauthVersionMax="47" xr10:uidLastSave="{00000000-0000-0000-0000-000000000000}"/>
  <bookViews>
    <workbookView xWindow="-120" yWindow="-120" windowWidth="29040" windowHeight="15840" tabRatio="1000" xr2:uid="{E6726085-0747-4589-856F-AE988516A596}"/>
  </bookViews>
  <sheets>
    <sheet name="data" sheetId="86" r:id="rId1"/>
    <sheet name="hops" sheetId="87" r:id="rId2"/>
    <sheet name="fails" sheetId="7" r:id="rId3"/>
    <sheet name="overhead" sheetId="89" r:id="rId4"/>
    <sheet name="e2e" sheetId="8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86" l="1"/>
  <c r="G41" i="86" s="1"/>
  <c r="F40" i="86"/>
  <c r="G40" i="86" s="1"/>
  <c r="F39" i="86"/>
  <c r="G39" i="86" s="1"/>
  <c r="F38" i="86"/>
  <c r="G38" i="86" s="1"/>
  <c r="F37" i="86"/>
  <c r="G37" i="86" s="1"/>
  <c r="F36" i="86"/>
  <c r="G36" i="86" s="1"/>
  <c r="F35" i="86"/>
  <c r="G35" i="86" s="1"/>
  <c r="F34" i="86"/>
  <c r="G34" i="86" s="1"/>
  <c r="F33" i="86"/>
  <c r="G33" i="86" s="1"/>
  <c r="F32" i="86"/>
  <c r="G32" i="86" s="1"/>
  <c r="F31" i="86"/>
  <c r="G31" i="86" s="1"/>
  <c r="R4" i="86"/>
  <c r="R5" i="86"/>
  <c r="R6" i="86"/>
  <c r="R7" i="86"/>
  <c r="R8" i="86"/>
  <c r="R9" i="86"/>
  <c r="R10" i="86"/>
  <c r="R11" i="86"/>
  <c r="R12" i="86"/>
  <c r="R13" i="86"/>
  <c r="R3" i="8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C0AB7-DA2C-4D86-B25D-5EFDA2A9D0FF}" keepAlive="1" name="쿼리 - DDRresult0 0008" description="통합 문서의 'DDRresult0 0008' 쿼리에 대한 연결입니다." type="5" refreshedVersion="8" background="1" saveData="1">
    <dbPr connection="Provider=Microsoft.Mashup.OleDb.1;Data Source=$Workbook$;Location=&quot;DDRresult0 0008&quot;;Extended Properties=&quot;&quot;" command="SELECT * FROM [DDRresult0 0008]"/>
  </connection>
  <connection id="2" xr16:uid="{901CC1E0-0CA8-4FBB-8698-73D70BB17D0A}" keepAlive="1" name="쿼리 - DDRresult0 0009" description="통합 문서의 'DDRresult0 0009' 쿼리에 대한 연결입니다." type="5" refreshedVersion="8" background="1" saveData="1">
    <dbPr connection="Provider=Microsoft.Mashup.OleDb.1;Data Source=$Workbook$;Location=&quot;DDRresult0 0009&quot;;Extended Properties=&quot;&quot;" command="SELECT * FROM [DDRresult0 0009]"/>
  </connection>
  <connection id="3" xr16:uid="{19CF18F0-1A04-4890-B228-10BA290BFE56}" keepAlive="1" name="쿼리 - DDRresult0 001" description="통합 문서의 'DDRresult0 001' 쿼리에 대한 연결입니다." type="5" refreshedVersion="8" background="1" saveData="1">
    <dbPr connection="Provider=Microsoft.Mashup.OleDb.1;Data Source=$Workbook$;Location=&quot;DDRresult0 001&quot;;Extended Properties=&quot;&quot;" command="SELECT * FROM [DDRresult0 001]"/>
  </connection>
  <connection id="4" xr16:uid="{9EF3701D-CA70-4539-AB53-EEF9EFB30A64}" keepAlive="1" name="쿼리 - DDRresult0 0011" description="통합 문서의 'DDRresult0 0011' 쿼리에 대한 연결입니다." type="5" refreshedVersion="8" background="1" saveData="1">
    <dbPr connection="Provider=Microsoft.Mashup.OleDb.1;Data Source=$Workbook$;Location=&quot;DDRresult0 0011&quot;;Extended Properties=&quot;&quot;" command="SELECT * FROM [DDRresult0 0011]"/>
  </connection>
  <connection id="5" xr16:uid="{0120CFD7-5BF2-45E0-BBB0-9776F4BC4F30}" keepAlive="1" name="쿼리 - DDRresult0 0012" description="통합 문서의 'DDRresult0 0012' 쿼리에 대한 연결입니다." type="5" refreshedVersion="8" background="1" saveData="1">
    <dbPr connection="Provider=Microsoft.Mashup.OleDb.1;Data Source=$Workbook$;Location=&quot;DDRresult0 0012&quot;;Extended Properties=&quot;&quot;" command="SELECT * FROM [DDRresult0 0012]"/>
  </connection>
  <connection id="6" xr16:uid="{3139EC43-CDE9-465D-B8BE-4686F5A11032}" keepAlive="1" name="쿼리 - DDRresult0 0013" description="통합 문서의 'DDRresult0 0013' 쿼리에 대한 연결입니다." type="5" refreshedVersion="8" background="1" saveData="1">
    <dbPr connection="Provider=Microsoft.Mashup.OleDb.1;Data Source=$Workbook$;Location=&quot;DDRresult0 0013&quot;;Extended Properties=&quot;&quot;" command="SELECT * FROM [DDRresult0 0013]"/>
  </connection>
  <connection id="7" xr16:uid="{477BE15B-C176-4BD9-862F-936A67549094}" keepAlive="1" name="쿼리 - DDRresult0 0014" description="통합 문서의 'DDRresult0 0014' 쿼리에 대한 연결입니다." type="5" refreshedVersion="8" background="1" saveData="1">
    <dbPr connection="Provider=Microsoft.Mashup.OleDb.1;Data Source=$Workbook$;Location=&quot;DDRresult0 0014&quot;;Extended Properties=&quot;&quot;" command="SELECT * FROM [DDRresult0 0014]"/>
  </connection>
  <connection id="8" xr16:uid="{802B5487-04D1-42DF-B6CF-622940E4B891}" keepAlive="1" name="쿼리 - DDRresult0 0015" description="통합 문서의 'DDRresult0 0015' 쿼리에 대한 연결입니다." type="5" refreshedVersion="8" background="1" saveData="1">
    <dbPr connection="Provider=Microsoft.Mashup.OleDb.1;Data Source=$Workbook$;Location=&quot;DDRresult0 0015&quot;;Extended Properties=&quot;&quot;" command="SELECT * FROM [DDRresult0 0015]"/>
  </connection>
  <connection id="9" xr16:uid="{B4BC79DE-C643-432D-9BBE-7ADA5FC6214C}" keepAlive="1" name="쿼리 - DDRresult0 0016" description="통합 문서의 'DDRresult0 0016' 쿼리에 대한 연결입니다." type="5" refreshedVersion="8" background="1" saveData="1">
    <dbPr connection="Provider=Microsoft.Mashup.OleDb.1;Data Source=$Workbook$;Location=&quot;DDRresult0 0016&quot;;Extended Properties=&quot;&quot;" command="SELECT * FROM [DDRresult0 0016]"/>
  </connection>
  <connection id="10" xr16:uid="{0AFD1932-9FDD-4F60-8FF5-6AD0D5674D01}" keepAlive="1" name="쿼리 - DDRresult0 0017" description="통합 문서의 'DDRresult0 0017' 쿼리에 대한 연결입니다." type="5" refreshedVersion="8" background="1" saveData="1">
    <dbPr connection="Provider=Microsoft.Mashup.OleDb.1;Data Source=$Workbook$;Location=&quot;DDRresult0 0017&quot;;Extended Properties=&quot;&quot;" command="SELECT * FROM [DDRresult0 0017]"/>
  </connection>
  <connection id="11" xr16:uid="{363EC77D-59DD-40AD-B364-8F37EA606937}" keepAlive="1" name="쿼리 - DDRresult0 0018" description="통합 문서의 'DDRresult0 0018' 쿼리에 대한 연결입니다." type="5" refreshedVersion="8" background="1" saveData="1">
    <dbPr connection="Provider=Microsoft.Mashup.OleDb.1;Data Source=$Workbook$;Location=&quot;DDRresult0 0018&quot;;Extended Properties=&quot;&quot;" command="SELECT * FROM [DDRresult0 0018]"/>
  </connection>
  <connection id="12" xr16:uid="{42646CEC-09D3-407A-915B-31D7AFF92C2D}" keepAlive="1" name="쿼리 - DTDRpat_result0 0011" description="통합 문서의 'DTDRpat_result0 0011' 쿼리에 대한 연결입니다." type="5" refreshedVersion="0" background="1">
    <dbPr connection="Provider=Microsoft.Mashup.OleDb.1;Data Source=$Workbook$;Location=&quot;DTDRpat_result0 0011&quot;;Extended Properties=&quot;&quot;" command="SELECT * FROM [DTDRpat_result0 0011]"/>
  </connection>
  <connection id="13" xr16:uid="{36C2C763-81DF-45D5-821A-CF0E3A703EC6}" keepAlive="1" name="쿼리 - DTDRresult0 0008" description="통합 문서의 'DTDRresult0 0008' 쿼리에 대한 연결입니다." type="5" refreshedVersion="8" background="1" saveData="1">
    <dbPr connection="Provider=Microsoft.Mashup.OleDb.1;Data Source=$Workbook$;Location=&quot;DTDRresult0 0008&quot;;Extended Properties=&quot;&quot;" command="SELECT * FROM [DTDRresult0 0008]"/>
  </connection>
  <connection id="14" xr16:uid="{D2352217-639F-47CF-BB8D-260AC5EE3399}" keepAlive="1" name="쿼리 - DTDRresult0 0009" description="통합 문서의 'DTDRresult0 0009' 쿼리에 대한 연결입니다." type="5" refreshedVersion="8" background="1" saveData="1">
    <dbPr connection="Provider=Microsoft.Mashup.OleDb.1;Data Source=$Workbook$;Location=&quot;DTDRresult0 0009&quot;;Extended Properties=&quot;&quot;" command="SELECT * FROM [DTDRresult0 0009]"/>
  </connection>
  <connection id="15" xr16:uid="{FD96180F-71F4-4BF5-87C0-4355EB4E681D}" keepAlive="1" name="쿼리 - DTDRresult0 001" description="통합 문서의 'DTDRresult0 001' 쿼리에 대한 연결입니다." type="5" refreshedVersion="8" background="1" saveData="1">
    <dbPr connection="Provider=Microsoft.Mashup.OleDb.1;Data Source=$Workbook$;Location=&quot;DTDRresult0 001&quot;;Extended Properties=&quot;&quot;" command="SELECT * FROM [DTDRresult0 001]"/>
  </connection>
  <connection id="16" xr16:uid="{7BB92007-B1FD-47E6-9C75-673A5FAF69C5}" keepAlive="1" name="쿼리 - DTDRresult0 0011" description="통합 문서의 'DTDRresult0 0011' 쿼리에 대한 연결입니다." type="5" refreshedVersion="8" background="1" saveData="1">
    <dbPr connection="Provider=Microsoft.Mashup.OleDb.1;Data Source=$Workbook$;Location=&quot;DTDRresult0 0011&quot;;Extended Properties=&quot;&quot;" command="SELECT * FROM [DTDRresult0 0011]"/>
  </connection>
  <connection id="17" xr16:uid="{66F9DC1F-6236-43D9-93E7-F68CDEF5208F}" keepAlive="1" name="쿼리 - DTDRresult0 0012" description="통합 문서의 'DTDRresult0 0012' 쿼리에 대한 연결입니다." type="5" refreshedVersion="8" background="1" saveData="1">
    <dbPr connection="Provider=Microsoft.Mashup.OleDb.1;Data Source=$Workbook$;Location=&quot;DTDRresult0 0012&quot;;Extended Properties=&quot;&quot;" command="SELECT * FROM [DTDRresult0 0012]"/>
  </connection>
  <connection id="18" xr16:uid="{FFEF96F6-39F9-48AC-AB73-29C58F135175}" keepAlive="1" name="쿼리 - DTDRresult0 0013" description="통합 문서의 'DTDRresult0 0013' 쿼리에 대한 연결입니다." type="5" refreshedVersion="8" background="1" saveData="1">
    <dbPr connection="Provider=Microsoft.Mashup.OleDb.1;Data Source=$Workbook$;Location=&quot;DTDRresult0 0013&quot;;Extended Properties=&quot;&quot;" command="SELECT * FROM [DTDRresult0 0013]"/>
  </connection>
  <connection id="19" xr16:uid="{B47F747E-2679-4E37-BCDC-CFDF038F637D}" keepAlive="1" name="쿼리 - DTDRresult0 0014" description="통합 문서의 'DTDRresult0 0014' 쿼리에 대한 연결입니다." type="5" refreshedVersion="8" background="1" saveData="1">
    <dbPr connection="Provider=Microsoft.Mashup.OleDb.1;Data Source=$Workbook$;Location=&quot;DTDRresult0 0014&quot;;Extended Properties=&quot;&quot;" command="SELECT * FROM [DTDRresult0 0014]"/>
  </connection>
  <connection id="20" xr16:uid="{C2D0E82C-CEF7-4BF4-ADBC-C251FC553DF7}" keepAlive="1" name="쿼리 - DTDRresult0 0015" description="통합 문서의 'DTDRresult0 0015' 쿼리에 대한 연결입니다." type="5" refreshedVersion="8" background="1" saveData="1">
    <dbPr connection="Provider=Microsoft.Mashup.OleDb.1;Data Source=$Workbook$;Location=&quot;DTDRresult0 0015&quot;;Extended Properties=&quot;&quot;" command="SELECT * FROM [DTDRresult0 0015]"/>
  </connection>
  <connection id="21" xr16:uid="{1E8C5E46-5FD4-487C-878D-7535E1DADBB5}" keepAlive="1" name="쿼리 - DTDRresult0 0016" description="통합 문서의 'DTDRresult0 0016' 쿼리에 대한 연결입니다." type="5" refreshedVersion="8" background="1" saveData="1">
    <dbPr connection="Provider=Microsoft.Mashup.OleDb.1;Data Source=$Workbook$;Location=&quot;DTDRresult0 0016&quot;;Extended Properties=&quot;&quot;" command="SELECT * FROM [DTDRresult0 0016]"/>
  </connection>
  <connection id="22" xr16:uid="{FB72FA0B-D20C-4DEB-9209-CC9D6B26BFCD}" keepAlive="1" name="쿼리 - DTDRresult0 0017" description="통합 문서의 'DTDRresult0 0017' 쿼리에 대한 연결입니다." type="5" refreshedVersion="8" background="1" saveData="1">
    <dbPr connection="Provider=Microsoft.Mashup.OleDb.1;Data Source=$Workbook$;Location=&quot;DTDRresult0 0017&quot;;Extended Properties=&quot;&quot;" command="SELECT * FROM [DTDRresult0 0017]"/>
  </connection>
  <connection id="23" xr16:uid="{595B2A80-5C87-4793-B2B2-9E9D69CA6647}" keepAlive="1" name="쿼리 - DTDRresult0 0018" description="통합 문서의 'DTDRresult0 0018' 쿼리에 대한 연결입니다." type="5" refreshedVersion="8" background="1" saveData="1">
    <dbPr connection="Provider=Microsoft.Mashup.OleDb.1;Data Source=$Workbook$;Location=&quot;DTDRresult0 0018&quot;;Extended Properties=&quot;&quot;" command="SELECT * FROM [DTDRresult0 0018]"/>
  </connection>
  <connection id="24" xr16:uid="{BAF18F84-746B-47FE-B5B0-14BA0ED4FEE2}" keepAlive="1" name="쿼리 - OPSPFresult0 0008" description="통합 문서의 'OPSPFresult0 0008' 쿼리에 대한 연결입니다." type="5" refreshedVersion="8" background="1" saveData="1">
    <dbPr connection="Provider=Microsoft.Mashup.OleDb.1;Data Source=$Workbook$;Location=&quot;OPSPFresult0 0008&quot;;Extended Properties=&quot;&quot;" command="SELECT * FROM [OPSPFresult0 0008]"/>
  </connection>
  <connection id="25" xr16:uid="{9A2E49F5-C172-47D4-94CC-33AD970C72AB}" keepAlive="1" name="쿼리 - OPSPFresult0 0009" description="통합 문서의 'OPSPFresult0 0009' 쿼리에 대한 연결입니다." type="5" refreshedVersion="8" background="1" saveData="1">
    <dbPr connection="Provider=Microsoft.Mashup.OleDb.1;Data Source=$Workbook$;Location=&quot;OPSPFresult0 0009&quot;;Extended Properties=&quot;&quot;" command="SELECT * FROM [OPSPFresult0 0009]"/>
  </connection>
  <connection id="26" xr16:uid="{7CE61AF5-283D-431E-B48F-092C5333C47F}" keepAlive="1" name="쿼리 - OPSPFresult0 001" description="통합 문서의 'OPSPFresult0 001' 쿼리에 대한 연결입니다." type="5" refreshedVersion="8" background="1" saveData="1">
    <dbPr connection="Provider=Microsoft.Mashup.OleDb.1;Data Source=$Workbook$;Location=&quot;OPSPFresult0 001&quot;;Extended Properties=&quot;&quot;" command="SELECT * FROM [OPSPFresult0 001]"/>
  </connection>
  <connection id="27" xr16:uid="{01E58B06-1EDE-4A90-B385-17A03987C373}" keepAlive="1" name="쿼리 - OPSPFresult0 0011" description="통합 문서의 'OPSPFresult0 0011' 쿼리에 대한 연결입니다." type="5" refreshedVersion="8" background="1" saveData="1">
    <dbPr connection="Provider=Microsoft.Mashup.OleDb.1;Data Source=$Workbook$;Location=&quot;OPSPFresult0 0011&quot;;Extended Properties=&quot;&quot;" command="SELECT * FROM [OPSPFresult0 0011]"/>
  </connection>
  <connection id="28" xr16:uid="{80FC4800-BBD4-4EAF-9680-C7B2F92CD0F3}" keepAlive="1" name="쿼리 - OPSPFresult0 0012" description="통합 문서의 'OPSPFresult0 0012' 쿼리에 대한 연결입니다." type="5" refreshedVersion="8" background="1" saveData="1">
    <dbPr connection="Provider=Microsoft.Mashup.OleDb.1;Data Source=$Workbook$;Location=&quot;OPSPFresult0 0012&quot;;Extended Properties=&quot;&quot;" command="SELECT * FROM [OPSPFresult0 0012]"/>
  </connection>
  <connection id="29" xr16:uid="{7BBCB820-E916-4FA4-8B27-3B358693312C}" keepAlive="1" name="쿼리 - OPSPFresult0 0013" description="통합 문서의 'OPSPFresult0 0013' 쿼리에 대한 연결입니다." type="5" refreshedVersion="8" background="1" saveData="1">
    <dbPr connection="Provider=Microsoft.Mashup.OleDb.1;Data Source=$Workbook$;Location=&quot;OPSPFresult0 0013&quot;;Extended Properties=&quot;&quot;" command="SELECT * FROM [OPSPFresult0 0013]"/>
  </connection>
  <connection id="30" xr16:uid="{D834CB9C-40FB-4A9E-9A55-BDC0DA894C0B}" keepAlive="1" name="쿼리 - OPSPFresult0 0014" description="통합 문서의 'OPSPFresult0 0014' 쿼리에 대한 연결입니다." type="5" refreshedVersion="8" background="1" saveData="1">
    <dbPr connection="Provider=Microsoft.Mashup.OleDb.1;Data Source=$Workbook$;Location=&quot;OPSPFresult0 0014&quot;;Extended Properties=&quot;&quot;" command="SELECT * FROM [OPSPFresult0 0014]"/>
  </connection>
  <connection id="31" xr16:uid="{B84C90A4-5E53-4E67-8DA6-577578E6242C}" keepAlive="1" name="쿼리 - OPSPFresult0 0015" description="통합 문서의 'OPSPFresult0 0015' 쿼리에 대한 연결입니다." type="5" refreshedVersion="8" background="1" saveData="1">
    <dbPr connection="Provider=Microsoft.Mashup.OleDb.1;Data Source=$Workbook$;Location=&quot;OPSPFresult0 0015&quot;;Extended Properties=&quot;&quot;" command="SELECT * FROM [OPSPFresult0 0015]"/>
  </connection>
  <connection id="32" xr16:uid="{7D9904CF-9999-4E03-9DA6-1B7A5FF2FD61}" keepAlive="1" name="쿼리 - OPSPFresult0 0016" description="통합 문서의 'OPSPFresult0 0016' 쿼리에 대한 연결입니다." type="5" refreshedVersion="8" background="1" saveData="1">
    <dbPr connection="Provider=Microsoft.Mashup.OleDb.1;Data Source=$Workbook$;Location=&quot;OPSPFresult0 0016&quot;;Extended Properties=&quot;&quot;" command="SELECT * FROM [OPSPFresult0 0016]"/>
  </connection>
  <connection id="33" xr16:uid="{3CEC649F-7931-408D-84E1-D04C3AAB39DA}" keepAlive="1" name="쿼리 - OPSPFresult0 0017" description="통합 문서의 'OPSPFresult0 0017' 쿼리에 대한 연결입니다." type="5" refreshedVersion="8" background="1" saveData="1">
    <dbPr connection="Provider=Microsoft.Mashup.OleDb.1;Data Source=$Workbook$;Location=&quot;OPSPFresult0 0017&quot;;Extended Properties=&quot;&quot;" command="SELECT * FROM [OPSPFresult0 0017]"/>
  </connection>
  <connection id="34" xr16:uid="{B50879FE-079E-45CA-9B4A-192C5D7F0416}" keepAlive="1" name="쿼리 - OPSPFresult0 0018" description="통합 문서의 'OPSPFresult0 0018' 쿼리에 대한 연결입니다." type="5" refreshedVersion="8" background="1" saveData="1">
    <dbPr connection="Provider=Microsoft.Mashup.OleDb.1;Data Source=$Workbook$;Location=&quot;OPSPFresult0 0018&quot;;Extended Properties=&quot;&quot;" command="SELECT * FROM [OPSPFresult0 0018]"/>
  </connection>
  <connection id="35" xr16:uid="{64F3DAE6-8E69-4271-9BE5-797F2FB98F74}" keepAlive="1" name="쿼리 - OPSPFresult999" description="통합 문서의 'OPSPFresult999' 쿼리에 대한 연결입니다." type="5" refreshedVersion="8" background="1" saveData="1">
    <dbPr connection="Provider=Microsoft.Mashup.OleDb.1;Data Source=$Workbook$;Location=OPSPFresult999;Extended Properties=&quot;&quot;" command="SELECT * FROM [OPSPFresult999]"/>
  </connection>
</connections>
</file>

<file path=xl/sharedStrings.xml><?xml version="1.0" encoding="utf-8"?>
<sst xmlns="http://schemas.openxmlformats.org/spreadsheetml/2006/main" count="52" uniqueCount="17">
  <si>
    <t>DTDR</t>
    <phoneticPr fontId="1" type="noConversion"/>
  </si>
  <si>
    <t>DDR</t>
    <phoneticPr fontId="1" type="noConversion"/>
  </si>
  <si>
    <t>OPSPF</t>
    <phoneticPr fontId="1" type="noConversion"/>
  </si>
  <si>
    <t>gamma</t>
  </si>
  <si>
    <t>avg hops</t>
  </si>
  <si>
    <t>avg prop</t>
  </si>
  <si>
    <t>sum fails</t>
  </si>
  <si>
    <t>avg fails</t>
  </si>
  <si>
    <t>sum overhead msg</t>
  </si>
  <si>
    <t>avg overhead msg</t>
  </si>
  <si>
    <t>DDRwG</t>
    <phoneticPr fontId="1" type="noConversion"/>
  </si>
  <si>
    <t>DTDRwG</t>
    <phoneticPr fontId="1" type="noConversion"/>
  </si>
  <si>
    <t>OPSPFwG</t>
    <phoneticPr fontId="1" type="noConversion"/>
  </si>
  <si>
    <t>x축</t>
    <phoneticPr fontId="1" type="noConversion"/>
  </si>
  <si>
    <t>24.53865067466267,86.85818723224057</t>
  </si>
  <si>
    <t>optimal hop</t>
    <phoneticPr fontId="1" type="noConversion"/>
  </si>
  <si>
    <t>optimal e2e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</si>
</sst>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data!$B$3:$B$13</c:f>
              <c:numCache>
                <c:formatCode>General</c:formatCode>
                <c:ptCount val="11"/>
                <c:pt idx="0">
                  <c:v>40.587996001999002</c:v>
                </c:pt>
                <c:pt idx="1">
                  <c:v>38.051264367816003</c:v>
                </c:pt>
                <c:pt idx="2">
                  <c:v>36.727826086956497</c:v>
                </c:pt>
                <c:pt idx="3">
                  <c:v>34.976691654172903</c:v>
                </c:pt>
                <c:pt idx="4">
                  <c:v>33.701579210394797</c:v>
                </c:pt>
                <c:pt idx="5">
                  <c:v>32.669155422288803</c:v>
                </c:pt>
                <c:pt idx="6">
                  <c:v>31.303688155922</c:v>
                </c:pt>
                <c:pt idx="7">
                  <c:v>30.600439780109902</c:v>
                </c:pt>
                <c:pt idx="8">
                  <c:v>29.281439280359798</c:v>
                </c:pt>
                <c:pt idx="9">
                  <c:v>28.428275862068901</c:v>
                </c:pt>
                <c:pt idx="10">
                  <c:v>27.307146426786598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1-419A-9E07-C3A854804D53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DDRwG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data!$J$3:$J$13</c:f>
              <c:numCache>
                <c:formatCode>General</c:formatCode>
                <c:ptCount val="11"/>
                <c:pt idx="0">
                  <c:v>25.722418790604699</c:v>
                </c:pt>
                <c:pt idx="1">
                  <c:v>25.5968815592203</c:v>
                </c:pt>
                <c:pt idx="2">
                  <c:v>25.562288855572199</c:v>
                </c:pt>
                <c:pt idx="3">
                  <c:v>25.522798600699598</c:v>
                </c:pt>
                <c:pt idx="4">
                  <c:v>25.33201399</c:v>
                </c:pt>
                <c:pt idx="5">
                  <c:v>25.27149425</c:v>
                </c:pt>
                <c:pt idx="6">
                  <c:v>25.243178409999999</c:v>
                </c:pt>
                <c:pt idx="7">
                  <c:v>25.07311344</c:v>
                </c:pt>
                <c:pt idx="8">
                  <c:v>25.00367816</c:v>
                </c:pt>
                <c:pt idx="9">
                  <c:v>25.035572210000002</c:v>
                </c:pt>
                <c:pt idx="10">
                  <c:v>24.819900050000001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1-419A-9E07-C3A854804D53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pattFill prst="lt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data!$B$17:$B$27</c:f>
              <c:numCache>
                <c:formatCode>General</c:formatCode>
                <c:ptCount val="11"/>
                <c:pt idx="0">
                  <c:v>41.585260780041096</c:v>
                </c:pt>
                <c:pt idx="1">
                  <c:v>38.5413193403298</c:v>
                </c:pt>
                <c:pt idx="2">
                  <c:v>36.256071964017899</c:v>
                </c:pt>
                <c:pt idx="3">
                  <c:v>33.066126936531703</c:v>
                </c:pt>
                <c:pt idx="4">
                  <c:v>32.196031980000001</c:v>
                </c:pt>
                <c:pt idx="5">
                  <c:v>31.015652169999999</c:v>
                </c:pt>
                <c:pt idx="6">
                  <c:v>29.594292849999999</c:v>
                </c:pt>
                <c:pt idx="7">
                  <c:v>28.959010490000001</c:v>
                </c:pt>
                <c:pt idx="8">
                  <c:v>28.286176909999998</c:v>
                </c:pt>
                <c:pt idx="9">
                  <c:v>27.506576710000001</c:v>
                </c:pt>
                <c:pt idx="10">
                  <c:v>26.483428289999999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1-419A-9E07-C3A854804D53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data!$J$17:$J$27</c:f>
              <c:numCache>
                <c:formatCode>General</c:formatCode>
                <c:ptCount val="11"/>
                <c:pt idx="0">
                  <c:v>25.157141429999999</c:v>
                </c:pt>
                <c:pt idx="1">
                  <c:v>25.075702150000001</c:v>
                </c:pt>
                <c:pt idx="2">
                  <c:v>25.144677659999999</c:v>
                </c:pt>
                <c:pt idx="3">
                  <c:v>25.11894053</c:v>
                </c:pt>
                <c:pt idx="4">
                  <c:v>24.962268869999999</c:v>
                </c:pt>
                <c:pt idx="5">
                  <c:v>24.92835582</c:v>
                </c:pt>
                <c:pt idx="6">
                  <c:v>24.952043979999999</c:v>
                </c:pt>
                <c:pt idx="7">
                  <c:v>24.807995999999999</c:v>
                </c:pt>
                <c:pt idx="8">
                  <c:v>24.68882559</c:v>
                </c:pt>
                <c:pt idx="9">
                  <c:v>24.60172914</c:v>
                </c:pt>
                <c:pt idx="10">
                  <c:v>24.515902050000001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1-419A-9E07-C3A854804D53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pattFill prst="lt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data!$B$31:$B$41</c:f>
              <c:numCache>
                <c:formatCode>General</c:formatCode>
                <c:ptCount val="11"/>
                <c:pt idx="0">
                  <c:v>30.3626116866056</c:v>
                </c:pt>
                <c:pt idx="1">
                  <c:v>29.599442975074101</c:v>
                </c:pt>
                <c:pt idx="2">
                  <c:v>28.9590108129755</c:v>
                </c:pt>
                <c:pt idx="3">
                  <c:v>28.414556329012601</c:v>
                </c:pt>
                <c:pt idx="4">
                  <c:v>27.927128217945501</c:v>
                </c:pt>
                <c:pt idx="5">
                  <c:v>27.354124808828299</c:v>
                </c:pt>
                <c:pt idx="6">
                  <c:v>26.9258470764617</c:v>
                </c:pt>
                <c:pt idx="7">
                  <c:v>26.481104258913099</c:v>
                </c:pt>
                <c:pt idx="8">
                  <c:v>26.020649675162399</c:v>
                </c:pt>
                <c:pt idx="9">
                  <c:v>25.572533733133401</c:v>
                </c:pt>
                <c:pt idx="10">
                  <c:v>25.099790104947498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1-419A-9E07-C3A854804D53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data!$J$31:$J$41</c:f>
              <c:numCache>
                <c:formatCode>General</c:formatCode>
                <c:ptCount val="11"/>
                <c:pt idx="0">
                  <c:v>30.334299526598699</c:v>
                </c:pt>
                <c:pt idx="1">
                  <c:v>29.605405513704099</c:v>
                </c:pt>
                <c:pt idx="2">
                  <c:v>28.9913512647774</c:v>
                </c:pt>
                <c:pt idx="3">
                  <c:v>28.4227518678175</c:v>
                </c:pt>
                <c:pt idx="4">
                  <c:v>27.908460138769399</c:v>
                </c:pt>
                <c:pt idx="5">
                  <c:v>27.4427351965135</c:v>
                </c:pt>
                <c:pt idx="6">
                  <c:v>26.9018361370156</c:v>
                </c:pt>
                <c:pt idx="7">
                  <c:v>26.4699597197373</c:v>
                </c:pt>
                <c:pt idx="8">
                  <c:v>26.025747126436698</c:v>
                </c:pt>
                <c:pt idx="9">
                  <c:v>25.590934532733598</c:v>
                </c:pt>
                <c:pt idx="10">
                  <c:v>25.0942628685657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91-419A-9E07-C3A854804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1"/>
        <c:axId val="63278767"/>
        <c:axId val="63271567"/>
      </c:barChart>
      <c:catAx>
        <c:axId val="6327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chemeClr val="tx1"/>
                    </a:solidFill>
                  </a:rPr>
                  <a:t>Maximum tolerant</a:t>
                </a:r>
                <a:r>
                  <a:rPr lang="en-US" altLang="ko-KR" sz="2000" baseline="0">
                    <a:solidFill>
                      <a:schemeClr val="tx1"/>
                    </a:solidFill>
                  </a:rPr>
                  <a:t> angular velocity (mrad/s)</a:t>
                </a:r>
                <a:endParaRPr lang="ko-KR" altLang="en-US" sz="20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2047761437908495"/>
              <c:y val="0.93392263888888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ysClr val="windowText" lastClr="000000"/>
                    </a:solidFill>
                  </a:rPr>
                  <a:t>Average</a:t>
                </a:r>
                <a:r>
                  <a:rPr lang="en-US" altLang="ko-KR" sz="2000" baseline="0">
                    <a:solidFill>
                      <a:sysClr val="windowText" lastClr="000000"/>
                    </a:solidFill>
                  </a:rPr>
                  <a:t> hop counts</a:t>
                </a:r>
                <a:endParaRPr lang="ko-KR" altLang="en-US" sz="2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5811122079631459E-3"/>
              <c:y val="0.31266656994508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9291516530106903"/>
          <c:y val="1.0018061953660983E-2"/>
          <c:w val="0.60792790832044319"/>
          <c:h val="5.65932022316305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data!$D$3:$D$13</c:f>
              <c:numCache>
                <c:formatCode>General</c:formatCode>
                <c:ptCount val="11"/>
                <c:pt idx="0">
                  <c:v>917241</c:v>
                </c:pt>
                <c:pt idx="1">
                  <c:v>717981</c:v>
                </c:pt>
                <c:pt idx="2">
                  <c:v>635083</c:v>
                </c:pt>
                <c:pt idx="3">
                  <c:v>534017</c:v>
                </c:pt>
                <c:pt idx="4">
                  <c:v>465232</c:v>
                </c:pt>
                <c:pt idx="5">
                  <c:v>409712</c:v>
                </c:pt>
                <c:pt idx="6">
                  <c:v>343007</c:v>
                </c:pt>
                <c:pt idx="7">
                  <c:v>304307</c:v>
                </c:pt>
                <c:pt idx="8">
                  <c:v>240404</c:v>
                </c:pt>
                <c:pt idx="9">
                  <c:v>198375</c:v>
                </c:pt>
                <c:pt idx="10">
                  <c:v>140874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B-4273-BE60-4157EA253EEB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DDRwG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data!$L$3:$L$13</c:f>
              <c:numCache>
                <c:formatCode>General</c:formatCode>
                <c:ptCount val="11"/>
                <c:pt idx="0">
                  <c:v>524948</c:v>
                </c:pt>
                <c:pt idx="1">
                  <c:v>463036</c:v>
                </c:pt>
                <c:pt idx="2">
                  <c:v>421567</c:v>
                </c:pt>
                <c:pt idx="3">
                  <c:v>381768</c:v>
                </c:pt>
                <c:pt idx="4">
                  <c:v>332229</c:v>
                </c:pt>
                <c:pt idx="5">
                  <c:v>291691</c:v>
                </c:pt>
                <c:pt idx="6">
                  <c:v>251203</c:v>
                </c:pt>
                <c:pt idx="7">
                  <c:v>217952</c:v>
                </c:pt>
                <c:pt idx="8">
                  <c:v>177395</c:v>
                </c:pt>
                <c:pt idx="9">
                  <c:v>148896</c:v>
                </c:pt>
                <c:pt idx="10">
                  <c:v>106651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B-4273-BE60-4157EA253EEB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pattFill prst="lt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data!$D$17:$D$27</c:f>
              <c:numCache>
                <c:formatCode>General</c:formatCode>
                <c:ptCount val="11"/>
                <c:pt idx="0">
                  <c:v>543522</c:v>
                </c:pt>
                <c:pt idx="1">
                  <c:v>434944</c:v>
                </c:pt>
                <c:pt idx="2">
                  <c:v>356479</c:v>
                </c:pt>
                <c:pt idx="3">
                  <c:v>269013</c:v>
                </c:pt>
                <c:pt idx="4">
                  <c:v>242424</c:v>
                </c:pt>
                <c:pt idx="5">
                  <c:v>209193</c:v>
                </c:pt>
                <c:pt idx="6">
                  <c:v>167174</c:v>
                </c:pt>
                <c:pt idx="7">
                  <c:v>146961</c:v>
                </c:pt>
                <c:pt idx="8">
                  <c:v>124937</c:v>
                </c:pt>
                <c:pt idx="9">
                  <c:v>97560</c:v>
                </c:pt>
                <c:pt idx="10">
                  <c:v>64756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6B-4273-BE60-4157EA253EEB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data!$L$17:$L$27</c:f>
              <c:numCache>
                <c:formatCode>General</c:formatCode>
                <c:ptCount val="11"/>
                <c:pt idx="0">
                  <c:v>308119</c:v>
                </c:pt>
                <c:pt idx="1">
                  <c:v>269268</c:v>
                </c:pt>
                <c:pt idx="2">
                  <c:v>238810</c:v>
                </c:pt>
                <c:pt idx="3">
                  <c:v>209514</c:v>
                </c:pt>
                <c:pt idx="4">
                  <c:v>180895</c:v>
                </c:pt>
                <c:pt idx="5">
                  <c:v>156911</c:v>
                </c:pt>
                <c:pt idx="6">
                  <c:v>133952</c:v>
                </c:pt>
                <c:pt idx="7">
                  <c:v>116756</c:v>
                </c:pt>
                <c:pt idx="8">
                  <c:v>98158</c:v>
                </c:pt>
                <c:pt idx="9">
                  <c:v>78548</c:v>
                </c:pt>
                <c:pt idx="10">
                  <c:v>53021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B-4273-BE60-4157EA253EEB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pattFill prst="lt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data!$D$31:$D$41</c:f>
              <c:numCache>
                <c:formatCode>General</c:formatCode>
                <c:ptCount val="11"/>
                <c:pt idx="0">
                  <c:v>178242</c:v>
                </c:pt>
                <c:pt idx="1">
                  <c:v>169693</c:v>
                </c:pt>
                <c:pt idx="2">
                  <c:v>160908</c:v>
                </c:pt>
                <c:pt idx="3">
                  <c:v>156123</c:v>
                </c:pt>
                <c:pt idx="4">
                  <c:v>142825</c:v>
                </c:pt>
                <c:pt idx="5">
                  <c:v>130836</c:v>
                </c:pt>
                <c:pt idx="6">
                  <c:v>114714</c:v>
                </c:pt>
                <c:pt idx="7">
                  <c:v>100014</c:v>
                </c:pt>
                <c:pt idx="8">
                  <c:v>82235</c:v>
                </c:pt>
                <c:pt idx="9">
                  <c:v>63184</c:v>
                </c:pt>
                <c:pt idx="10">
                  <c:v>37581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6B-4273-BE60-4157EA253EEB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data!$L$31:$L$41</c:f>
              <c:numCache>
                <c:formatCode>General</c:formatCode>
                <c:ptCount val="11"/>
                <c:pt idx="0">
                  <c:v>174837</c:v>
                </c:pt>
                <c:pt idx="1">
                  <c:v>170518</c:v>
                </c:pt>
                <c:pt idx="2">
                  <c:v>163043</c:v>
                </c:pt>
                <c:pt idx="3">
                  <c:v>155886</c:v>
                </c:pt>
                <c:pt idx="4">
                  <c:v>142736</c:v>
                </c:pt>
                <c:pt idx="5">
                  <c:v>131077</c:v>
                </c:pt>
                <c:pt idx="6">
                  <c:v>114471</c:v>
                </c:pt>
                <c:pt idx="7">
                  <c:v>100015</c:v>
                </c:pt>
                <c:pt idx="8">
                  <c:v>82327</c:v>
                </c:pt>
                <c:pt idx="9">
                  <c:v>63233</c:v>
                </c:pt>
                <c:pt idx="10">
                  <c:v>37593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6B-4273-BE60-4157EA253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1"/>
        <c:axId val="63278767"/>
        <c:axId val="63271567"/>
      </c:barChart>
      <c:catAx>
        <c:axId val="6327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ysClr val="windowText" lastClr="000000"/>
                    </a:solidFill>
                  </a:rPr>
                  <a:t>Maximum tolerant</a:t>
                </a:r>
                <a:r>
                  <a:rPr lang="en-US" altLang="ko-KR" sz="2000" baseline="0">
                    <a:solidFill>
                      <a:sysClr val="windowText" lastClr="000000"/>
                    </a:solidFill>
                  </a:rPr>
                  <a:t> angular velocity (mrad/s)</a:t>
                </a:r>
                <a:endParaRPr lang="ko-KR" altLang="en-US" sz="2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2896274371278184"/>
              <c:y val="0.93416235109494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ysClr val="windowText" lastClr="000000"/>
                    </a:solidFill>
                  </a:rPr>
                  <a:t>Sum of transmission failures (thousands)</a:t>
                </a:r>
                <a:endParaRPr lang="ko-KR" altLang="en-US" sz="2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6.581102627392324E-3"/>
              <c:y val="0.153599888792629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between"/>
        <c:dispUnits>
          <c:builtInUnit val="thousands"/>
        </c:dispUnits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9603599868303526"/>
          <c:y val="1.0072615735787147E-2"/>
          <c:w val="0.60792790832044319"/>
          <c:h val="5.65932022316305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99771241830065"/>
          <c:y val="0.10166930667248666"/>
          <c:w val="0.87753194444444449"/>
          <c:h val="0.7733738888888889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data!$F$3:$F$13</c:f>
              <c:numCache>
                <c:formatCode>General</c:formatCode>
                <c:ptCount val="11"/>
                <c:pt idx="0">
                  <c:v>1170690</c:v>
                </c:pt>
                <c:pt idx="1">
                  <c:v>930785</c:v>
                </c:pt>
                <c:pt idx="2">
                  <c:v>810992</c:v>
                </c:pt>
                <c:pt idx="3">
                  <c:v>678211</c:v>
                </c:pt>
                <c:pt idx="4">
                  <c:v>580811</c:v>
                </c:pt>
                <c:pt idx="5">
                  <c:v>500536</c:v>
                </c:pt>
                <c:pt idx="6">
                  <c:v>410915</c:v>
                </c:pt>
                <c:pt idx="7">
                  <c:v>352760</c:v>
                </c:pt>
                <c:pt idx="8">
                  <c:v>270591</c:v>
                </c:pt>
                <c:pt idx="9">
                  <c:v>211128</c:v>
                </c:pt>
                <c:pt idx="10">
                  <c:v>137533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1-4321-B076-84822CFEAA03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DDRwG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data!$N$3:$N$13</c:f>
              <c:numCache>
                <c:formatCode>General</c:formatCode>
                <c:ptCount val="11"/>
                <c:pt idx="0">
                  <c:v>668852</c:v>
                </c:pt>
                <c:pt idx="1">
                  <c:v>584883</c:v>
                </c:pt>
                <c:pt idx="2">
                  <c:v>525124</c:v>
                </c:pt>
                <c:pt idx="3">
                  <c:v>469286</c:v>
                </c:pt>
                <c:pt idx="4">
                  <c:v>403594</c:v>
                </c:pt>
                <c:pt idx="5">
                  <c:v>351002</c:v>
                </c:pt>
                <c:pt idx="6">
                  <c:v>298051</c:v>
                </c:pt>
                <c:pt idx="7">
                  <c:v>254605</c:v>
                </c:pt>
                <c:pt idx="8">
                  <c:v>201707</c:v>
                </c:pt>
                <c:pt idx="9">
                  <c:v>160662</c:v>
                </c:pt>
                <c:pt idx="10">
                  <c:v>105043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1-4321-B076-84822CFEAA03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pattFill prst="ltDn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data!$F$17:$F$27</c:f>
              <c:numCache>
                <c:formatCode>General</c:formatCode>
                <c:ptCount val="11"/>
                <c:pt idx="0">
                  <c:v>2174088</c:v>
                </c:pt>
                <c:pt idx="1">
                  <c:v>1739776</c:v>
                </c:pt>
                <c:pt idx="2">
                  <c:v>1425916</c:v>
                </c:pt>
                <c:pt idx="3">
                  <c:v>1076052</c:v>
                </c:pt>
                <c:pt idx="4">
                  <c:v>969696</c:v>
                </c:pt>
                <c:pt idx="5">
                  <c:v>836772</c:v>
                </c:pt>
                <c:pt idx="6">
                  <c:v>668696</c:v>
                </c:pt>
                <c:pt idx="7">
                  <c:v>587844</c:v>
                </c:pt>
                <c:pt idx="8">
                  <c:v>499748</c:v>
                </c:pt>
                <c:pt idx="9">
                  <c:v>390240</c:v>
                </c:pt>
                <c:pt idx="10">
                  <c:v>259024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1-4321-B076-84822CFEAA03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data!$N$17:$N$27</c:f>
              <c:numCache>
                <c:formatCode>General</c:formatCode>
                <c:ptCount val="11"/>
                <c:pt idx="0">
                  <c:v>1232476</c:v>
                </c:pt>
                <c:pt idx="1">
                  <c:v>1077072</c:v>
                </c:pt>
                <c:pt idx="2">
                  <c:v>955240</c:v>
                </c:pt>
                <c:pt idx="3">
                  <c:v>838056</c:v>
                </c:pt>
                <c:pt idx="4">
                  <c:v>723580</c:v>
                </c:pt>
                <c:pt idx="5">
                  <c:v>627644</c:v>
                </c:pt>
                <c:pt idx="6">
                  <c:v>535808</c:v>
                </c:pt>
                <c:pt idx="7">
                  <c:v>467024</c:v>
                </c:pt>
                <c:pt idx="8">
                  <c:v>392632</c:v>
                </c:pt>
                <c:pt idx="9">
                  <c:v>314192</c:v>
                </c:pt>
                <c:pt idx="10">
                  <c:v>212084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51-4321-B076-84822CFEAA03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pattFill prst="ltDnDiag">
              <a:fgClr>
                <a:srgbClr val="FF0000"/>
              </a:fgClr>
              <a:bgClr>
                <a:schemeClr val="bg1"/>
              </a:bgClr>
            </a:patt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data!$F$31:$F$41</c:f>
              <c:numCache>
                <c:formatCode>General</c:formatCode>
                <c:ptCount val="11"/>
                <c:pt idx="0">
                  <c:v>847005984</c:v>
                </c:pt>
                <c:pt idx="1">
                  <c:v>806381136</c:v>
                </c:pt>
                <c:pt idx="2">
                  <c:v>764634816</c:v>
                </c:pt>
                <c:pt idx="3">
                  <c:v>741896496</c:v>
                </c:pt>
                <c:pt idx="4">
                  <c:v>678704400</c:v>
                </c:pt>
                <c:pt idx="5">
                  <c:v>621732672</c:v>
                </c:pt>
                <c:pt idx="6">
                  <c:v>545120928</c:v>
                </c:pt>
                <c:pt idx="7">
                  <c:v>475266528</c:v>
                </c:pt>
                <c:pt idx="8">
                  <c:v>390780720</c:v>
                </c:pt>
                <c:pt idx="9">
                  <c:v>300250368</c:v>
                </c:pt>
                <c:pt idx="10">
                  <c:v>178584912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51-4321-B076-84822CFEAA03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data!$N$31:$N$41</c:f>
              <c:numCache>
                <c:formatCode>General</c:formatCode>
                <c:ptCount val="11"/>
                <c:pt idx="0">
                  <c:v>830825424</c:v>
                </c:pt>
                <c:pt idx="1">
                  <c:v>810301536</c:v>
                </c:pt>
                <c:pt idx="2">
                  <c:v>774780336</c:v>
                </c:pt>
                <c:pt idx="3">
                  <c:v>740770272</c:v>
                </c:pt>
                <c:pt idx="4">
                  <c:v>678281472</c:v>
                </c:pt>
                <c:pt idx="5">
                  <c:v>622877904</c:v>
                </c:pt>
                <c:pt idx="6">
                  <c:v>543966192</c:v>
                </c:pt>
                <c:pt idx="7">
                  <c:v>475271280</c:v>
                </c:pt>
                <c:pt idx="8">
                  <c:v>391217904</c:v>
                </c:pt>
                <c:pt idx="9">
                  <c:v>300483216</c:v>
                </c:pt>
                <c:pt idx="10">
                  <c:v>178641936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51-4321-B076-84822CFE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1"/>
        <c:axId val="63278767"/>
        <c:axId val="63271567"/>
      </c:barChart>
      <c:catAx>
        <c:axId val="6327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ysClr val="windowText" lastClr="000000"/>
                    </a:solidFill>
                  </a:rPr>
                  <a:t>Maximum tolerant</a:t>
                </a:r>
                <a:r>
                  <a:rPr lang="en-US" altLang="ko-KR" sz="2000" baseline="0">
                    <a:solidFill>
                      <a:sysClr val="windowText" lastClr="000000"/>
                    </a:solidFill>
                  </a:rPr>
                  <a:t> angular velocity (mrad/s)</a:t>
                </a:r>
                <a:endParaRPr lang="ko-KR" altLang="en-US" sz="2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2485008169934643"/>
              <c:y val="0.935686527777777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logBase val="10"/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ysClr val="windowText" lastClr="000000"/>
                    </a:solidFill>
                  </a:rPr>
                  <a:t>overhead signaling messages (X10,000)</a:t>
                </a:r>
                <a:endParaRPr lang="ko-KR" altLang="en-US" sz="2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5.1879084967320259E-3"/>
              <c:y val="0.19102625000000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between"/>
        <c:dispUnits>
          <c:builtInUnit val="tenThousands"/>
        </c:dispUnits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9603604014196879"/>
          <c:y val="2.0157108560754946E-2"/>
          <c:w val="0.60792790832044319"/>
          <c:h val="5.65932022316305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data!$A$1</c:f>
              <c:strCache>
                <c:ptCount val="1"/>
                <c:pt idx="0">
                  <c:v>DDR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19050">
                <a:noFill/>
              </a:ln>
              <a:effectLst/>
            </c:spPr>
          </c:marker>
          <c:cat>
            <c:numRef>
              <c:f>data!$R$3:$R$13</c:f>
              <c:numCache>
                <c:formatCode>General</c:formatCode>
                <c:ptCount val="11"/>
                <c:pt idx="0">
                  <c:v>1</c:v>
                </c:pt>
                <c:pt idx="1">
                  <c:v>1.0250000000000001</c:v>
                </c:pt>
                <c:pt idx="2">
                  <c:v>1.05</c:v>
                </c:pt>
                <c:pt idx="3">
                  <c:v>1.075</c:v>
                </c:pt>
                <c:pt idx="4">
                  <c:v>1.1000000000000001</c:v>
                </c:pt>
                <c:pt idx="5">
                  <c:v>1.125</c:v>
                </c:pt>
                <c:pt idx="6">
                  <c:v>1.1499999999999999</c:v>
                </c:pt>
                <c:pt idx="7">
                  <c:v>1.175</c:v>
                </c:pt>
                <c:pt idx="8">
                  <c:v>1.2</c:v>
                </c:pt>
                <c:pt idx="9">
                  <c:v>1.2249999999999999</c:v>
                </c:pt>
                <c:pt idx="10">
                  <c:v>1.25</c:v>
                </c:pt>
              </c:numCache>
            </c:numRef>
          </c:cat>
          <c:val>
            <c:numRef>
              <c:f>data!$C$3:$C$13</c:f>
              <c:numCache>
                <c:formatCode>General</c:formatCode>
                <c:ptCount val="11"/>
                <c:pt idx="0">
                  <c:v>198.63862984742499</c:v>
                </c:pt>
                <c:pt idx="1">
                  <c:v>181.658278589719</c:v>
                </c:pt>
                <c:pt idx="2">
                  <c:v>172.492685991087</c:v>
                </c:pt>
                <c:pt idx="3">
                  <c:v>160.85259046850501</c:v>
                </c:pt>
                <c:pt idx="4">
                  <c:v>152.10987336442301</c:v>
                </c:pt>
                <c:pt idx="5">
                  <c:v>144.901837066095</c:v>
                </c:pt>
                <c:pt idx="6">
                  <c:v>135.66363859881099</c:v>
                </c:pt>
                <c:pt idx="7">
                  <c:v>130.70449506162299</c:v>
                </c:pt>
                <c:pt idx="8">
                  <c:v>121.8690773493</c:v>
                </c:pt>
                <c:pt idx="9">
                  <c:v>116.06921817550599</c:v>
                </c:pt>
                <c:pt idx="10">
                  <c:v>108.255762519917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B-4472-A487-39D2F7F9F499}"/>
            </c:ext>
          </c:extLst>
        </c:ser>
        <c:ser>
          <c:idx val="0"/>
          <c:order val="1"/>
          <c:tx>
            <c:strRef>
              <c:f>data!$I$1</c:f>
              <c:strCache>
                <c:ptCount val="1"/>
                <c:pt idx="0">
                  <c:v>DDRwG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val>
            <c:numRef>
              <c:f>data!$K$3:$K$13</c:f>
              <c:numCache>
                <c:formatCode>General</c:formatCode>
                <c:ptCount val="11"/>
                <c:pt idx="0">
                  <c:v>127.02092863714699</c:v>
                </c:pt>
                <c:pt idx="1">
                  <c:v>123.617573505675</c:v>
                </c:pt>
                <c:pt idx="2">
                  <c:v>121.25306703478699</c:v>
                </c:pt>
                <c:pt idx="3">
                  <c:v>118.60038483360999</c:v>
                </c:pt>
                <c:pt idx="4">
                  <c:v>115.25186119999999</c:v>
                </c:pt>
                <c:pt idx="5">
                  <c:v>112.95021199999999</c:v>
                </c:pt>
                <c:pt idx="6">
                  <c:v>110.1467533</c:v>
                </c:pt>
                <c:pt idx="7">
                  <c:v>107.69130869999999</c:v>
                </c:pt>
                <c:pt idx="8">
                  <c:v>104.8887695</c:v>
                </c:pt>
                <c:pt idx="9">
                  <c:v>102.76488449999999</c:v>
                </c:pt>
                <c:pt idx="10">
                  <c:v>98.933883719999997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B-4472-A487-39D2F7F9F499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DTDR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triangle"/>
            <c:size val="10"/>
            <c:spPr>
              <a:solidFill>
                <a:schemeClr val="bg2">
                  <a:lumMod val="50000"/>
                </a:schemeClr>
              </a:solidFill>
              <a:ln w="12700">
                <a:noFill/>
              </a:ln>
              <a:effectLst/>
            </c:spPr>
          </c:marker>
          <c:val>
            <c:numRef>
              <c:f>data!$C$17:$C$27</c:f>
              <c:numCache>
                <c:formatCode>General</c:formatCode>
                <c:ptCount val="11"/>
                <c:pt idx="0">
                  <c:v>205.423577230484</c:v>
                </c:pt>
                <c:pt idx="1">
                  <c:v>185.358622730777</c:v>
                </c:pt>
                <c:pt idx="2">
                  <c:v>170.13528032900601</c:v>
                </c:pt>
                <c:pt idx="3">
                  <c:v>148.91199308475299</c:v>
                </c:pt>
                <c:pt idx="4">
                  <c:v>142.94115669999999</c:v>
                </c:pt>
                <c:pt idx="5">
                  <c:v>134.70093249999999</c:v>
                </c:pt>
                <c:pt idx="6">
                  <c:v>125.009029</c:v>
                </c:pt>
                <c:pt idx="7">
                  <c:v>120.6934493</c:v>
                </c:pt>
                <c:pt idx="8">
                  <c:v>115.94620930000001</c:v>
                </c:pt>
                <c:pt idx="9">
                  <c:v>110.3882586</c:v>
                </c:pt>
                <c:pt idx="10">
                  <c:v>103.45763460000001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B-4472-A487-39D2F7F9F499}"/>
            </c:ext>
          </c:extLst>
        </c:ser>
        <c:ser>
          <c:idx val="3"/>
          <c:order val="3"/>
          <c:tx>
            <c:strRef>
              <c:f>data!$I$15</c:f>
              <c:strCache>
                <c:ptCount val="1"/>
                <c:pt idx="0">
                  <c:v>DTDRwG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bg2">
                  <a:lumMod val="50000"/>
                </a:schemeClr>
              </a:solidFill>
              <a:ln w="9525">
                <a:noFill/>
              </a:ln>
              <a:effectLst/>
            </c:spPr>
          </c:marker>
          <c:val>
            <c:numRef>
              <c:f>data!$K$17:$K$27</c:f>
              <c:numCache>
                <c:formatCode>General</c:formatCode>
                <c:ptCount val="11"/>
                <c:pt idx="0">
                  <c:v>124.1564678</c:v>
                </c:pt>
                <c:pt idx="1">
                  <c:v>120.93816289999999</c:v>
                </c:pt>
                <c:pt idx="2">
                  <c:v>118.69496220000001</c:v>
                </c:pt>
                <c:pt idx="3">
                  <c:v>115.8331017</c:v>
                </c:pt>
                <c:pt idx="4">
                  <c:v>113.0789936</c:v>
                </c:pt>
                <c:pt idx="5">
                  <c:v>110.7496269</c:v>
                </c:pt>
                <c:pt idx="6">
                  <c:v>108.113395</c:v>
                </c:pt>
                <c:pt idx="7">
                  <c:v>105.5511394</c:v>
                </c:pt>
                <c:pt idx="8">
                  <c:v>103.0726478</c:v>
                </c:pt>
                <c:pt idx="9">
                  <c:v>100.3880123</c:v>
                </c:pt>
                <c:pt idx="10">
                  <c:v>97.00313783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B-4472-A487-39D2F7F9F499}"/>
            </c:ext>
          </c:extLst>
        </c:ser>
        <c:ser>
          <c:idx val="4"/>
          <c:order val="4"/>
          <c:tx>
            <c:strRef>
              <c:f>data!$A$29</c:f>
              <c:strCache>
                <c:ptCount val="1"/>
                <c:pt idx="0">
                  <c:v>OPSPF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square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data!$C$31:$C$41</c:f>
              <c:numCache>
                <c:formatCode>General</c:formatCode>
                <c:ptCount val="11"/>
                <c:pt idx="0">
                  <c:v>131.31698690150799</c:v>
                </c:pt>
                <c:pt idx="1">
                  <c:v>125.65178925574099</c:v>
                </c:pt>
                <c:pt idx="2">
                  <c:v>121.071620669734</c:v>
                </c:pt>
                <c:pt idx="3">
                  <c:v>117.224850329554</c:v>
                </c:pt>
                <c:pt idx="4">
                  <c:v>113.32760805916899</c:v>
                </c:pt>
                <c:pt idx="5">
                  <c:v>109.50034954281701</c:v>
                </c:pt>
                <c:pt idx="6">
                  <c:v>106.025345091734</c:v>
                </c:pt>
                <c:pt idx="7">
                  <c:v>102.79975564385499</c:v>
                </c:pt>
                <c:pt idx="8">
                  <c:v>99.250006089705096</c:v>
                </c:pt>
                <c:pt idx="9">
                  <c:v>95.873429446079797</c:v>
                </c:pt>
                <c:pt idx="10">
                  <c:v>92.088473209434994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AB-4472-A487-39D2F7F9F499}"/>
            </c:ext>
          </c:extLst>
        </c:ser>
        <c:ser>
          <c:idx val="5"/>
          <c:order val="5"/>
          <c:tx>
            <c:strRef>
              <c:f>data!$I$29</c:f>
              <c:strCache>
                <c:ptCount val="1"/>
                <c:pt idx="0">
                  <c:v>OPSPFwG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15875">
                <a:solidFill>
                  <a:schemeClr val="tx1"/>
                </a:solidFill>
              </a:ln>
              <a:effectLst/>
            </c:spPr>
          </c:marker>
          <c:val>
            <c:numRef>
              <c:f>data!$K$31:$K$41</c:f>
              <c:numCache>
                <c:formatCode>General</c:formatCode>
                <c:ptCount val="11"/>
                <c:pt idx="0">
                  <c:v>131.10465400224899</c:v>
                </c:pt>
                <c:pt idx="1">
                  <c:v>125.76822107408999</c:v>
                </c:pt>
                <c:pt idx="2">
                  <c:v>121.253613482128</c:v>
                </c:pt>
                <c:pt idx="3">
                  <c:v>117.189758028567</c:v>
                </c:pt>
                <c:pt idx="4">
                  <c:v>113.24906699008601</c:v>
                </c:pt>
                <c:pt idx="5">
                  <c:v>109.85349027168699</c:v>
                </c:pt>
                <c:pt idx="6">
                  <c:v>105.911938252865</c:v>
                </c:pt>
                <c:pt idx="7">
                  <c:v>102.76701778739501</c:v>
                </c:pt>
                <c:pt idx="8">
                  <c:v>99.352709081476405</c:v>
                </c:pt>
                <c:pt idx="9">
                  <c:v>95.926576476869798</c:v>
                </c:pt>
                <c:pt idx="10">
                  <c:v>92.011849651265507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AB-4472-A487-39D2F7F9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78767"/>
        <c:axId val="63271567"/>
      </c:lineChart>
      <c:catAx>
        <c:axId val="63278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ysClr val="windowText" lastClr="000000"/>
                    </a:solidFill>
                  </a:rPr>
                  <a:t>Maximum tolerant</a:t>
                </a:r>
                <a:r>
                  <a:rPr lang="en-US" altLang="ko-KR" sz="2000" baseline="0">
                    <a:solidFill>
                      <a:sysClr val="windowText" lastClr="000000"/>
                    </a:solidFill>
                  </a:rPr>
                  <a:t> angular velocity (mrad/s)</a:t>
                </a:r>
                <a:endParaRPr lang="ko-KR" altLang="en-US" sz="2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3189101307189539"/>
              <c:y val="0.94274208333333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b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1567"/>
        <c:crosses val="autoZero"/>
        <c:auto val="1"/>
        <c:lblAlgn val="ctr"/>
        <c:lblOffset val="100"/>
        <c:noMultiLvlLbl val="0"/>
      </c:catAx>
      <c:valAx>
        <c:axId val="63271567"/>
        <c:scaling>
          <c:orientation val="minMax"/>
          <c:max val="21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>
                    <a:solidFill>
                      <a:sysClr val="windowText" lastClr="000000"/>
                    </a:solidFill>
                  </a:rPr>
                  <a:t>End</a:t>
                </a:r>
                <a:r>
                  <a:rPr lang="en-US" altLang="ko-KR" sz="2000" baseline="0">
                    <a:solidFill>
                      <a:sysClr val="windowText" lastClr="000000"/>
                    </a:solidFill>
                  </a:rPr>
                  <a:t> to end propagation delay (ms)</a:t>
                </a:r>
                <a:endParaRPr lang="ko-KR" altLang="en-US" sz="2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3.4683823529411757E-3"/>
              <c:y val="0.24179430555555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27876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9492998285604765"/>
          <c:y val="1.3254242516344215E-2"/>
          <c:w val="0.60689827170777855"/>
          <c:h val="5.677026910454956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432706</xdr:colOff>
      <xdr:row>4</xdr:row>
      <xdr:rowOff>106132</xdr:rowOff>
    </xdr:from>
    <xdr:to>
      <xdr:col>21</xdr:col>
      <xdr:colOff>426277</xdr:colOff>
      <xdr:row>39</xdr:row>
      <xdr:rowOff>162382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F8C8674-5719-478B-B833-7D7D5693CCC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676274</xdr:colOff>
      <xdr:row>5</xdr:row>
      <xdr:rowOff>180974</xdr:rowOff>
    </xdr:from>
    <xdr:to>
      <xdr:col>19</xdr:col>
      <xdr:colOff>181349</xdr:colOff>
      <xdr:row>40</xdr:row>
      <xdr:rowOff>46724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73FFFA1-6A47-47AB-ACEB-2D8C341CABE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485774</xdr:colOff>
      <xdr:row>0</xdr:row>
      <xdr:rowOff>171449</xdr:rowOff>
    </xdr:from>
    <xdr:to>
      <xdr:col>21</xdr:col>
      <xdr:colOff>421715</xdr:colOff>
      <xdr:row>34</xdr:row>
      <xdr:rowOff>132449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8AB5515-E2B0-440A-B5DB-B40BCB3C5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507465</xdr:colOff>
      <xdr:row>5</xdr:row>
      <xdr:rowOff>48984</xdr:rowOff>
    </xdr:from>
    <xdr:to>
      <xdr:col>21</xdr:col>
      <xdr:colOff>501037</xdr:colOff>
      <xdr:row>40</xdr:row>
      <xdr:rowOff>105234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0650DE-9BD6-4C58-8D8D-6F543DB19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519C-BCF1-431B-8A6B-7DEB49978D6C}">
  <dimension ref="A1:Y43"/>
  <sheetViews>
    <sheetView tabSelected="1" workbookViewId="0">
      <selection activeCell="I10" sqref="I10"/>
    </sheetView>
  </sheetViews>
  <sheetFormatPr defaultRowHeight="16.5" x14ac:dyDescent="0.3"/>
  <sheetData>
    <row r="1" spans="1:25" x14ac:dyDescent="0.3">
      <c r="A1" t="s">
        <v>1</v>
      </c>
      <c r="I1" t="s">
        <v>10</v>
      </c>
      <c r="S1" t="s">
        <v>15</v>
      </c>
      <c r="T1" t="s">
        <v>16</v>
      </c>
    </row>
    <row r="2" spans="1:25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R2" t="s">
        <v>13</v>
      </c>
      <c r="S2" t="s">
        <v>14</v>
      </c>
    </row>
    <row r="3" spans="1:25" x14ac:dyDescent="0.3">
      <c r="A3">
        <v>1E-3</v>
      </c>
      <c r="B3">
        <v>40.587996001999002</v>
      </c>
      <c r="C3">
        <v>198.63862984742499</v>
      </c>
      <c r="D3">
        <v>917241</v>
      </c>
      <c r="E3">
        <v>9.16782608695652</v>
      </c>
      <c r="F3">
        <v>1170690</v>
      </c>
      <c r="G3">
        <v>11.7010494752623</v>
      </c>
      <c r="I3">
        <v>1E-3</v>
      </c>
      <c r="J3">
        <v>25.722418790604699</v>
      </c>
      <c r="K3">
        <v>127.02092863714699</v>
      </c>
      <c r="L3">
        <v>524948</v>
      </c>
      <c r="M3">
        <v>5.2468565717141402</v>
      </c>
      <c r="N3">
        <v>668852</v>
      </c>
      <c r="O3">
        <v>6.6851774112943501</v>
      </c>
      <c r="R3">
        <f>A3*1000</f>
        <v>1</v>
      </c>
    </row>
    <row r="4" spans="1:25" x14ac:dyDescent="0.3">
      <c r="A4">
        <v>1.0250000000000001E-3</v>
      </c>
      <c r="B4">
        <v>38.051264367816003</v>
      </c>
      <c r="C4">
        <v>181.658278589719</v>
      </c>
      <c r="D4">
        <v>717981</v>
      </c>
      <c r="E4">
        <v>7.1762218890554701</v>
      </c>
      <c r="F4">
        <v>930785</v>
      </c>
      <c r="G4">
        <v>9.3031984007995998</v>
      </c>
      <c r="I4">
        <v>1.0250000000000001E-3</v>
      </c>
      <c r="J4">
        <v>25.5968815592203</v>
      </c>
      <c r="K4">
        <v>123.617573505675</v>
      </c>
      <c r="L4">
        <v>463036</v>
      </c>
      <c r="M4">
        <v>4.6280459770114897</v>
      </c>
      <c r="N4">
        <v>584883</v>
      </c>
      <c r="O4">
        <v>5.8459070464767597</v>
      </c>
      <c r="R4">
        <f t="shared" ref="R4:R13" si="0">A4*1000</f>
        <v>1.0250000000000001</v>
      </c>
    </row>
    <row r="5" spans="1:25" x14ac:dyDescent="0.3">
      <c r="A5">
        <v>1.0499999999999999E-3</v>
      </c>
      <c r="B5">
        <v>36.727826086956497</v>
      </c>
      <c r="C5">
        <v>172.492685991087</v>
      </c>
      <c r="D5">
        <v>635083</v>
      </c>
      <c r="E5">
        <v>6.3476561719140401</v>
      </c>
      <c r="F5">
        <v>810992</v>
      </c>
      <c r="G5">
        <v>8.1058670664667591</v>
      </c>
      <c r="I5">
        <v>1.0499999999999999E-3</v>
      </c>
      <c r="J5">
        <v>25.562288855572199</v>
      </c>
      <c r="K5">
        <v>121.25306703478699</v>
      </c>
      <c r="L5">
        <v>421567</v>
      </c>
      <c r="M5">
        <v>4.2135632183908003</v>
      </c>
      <c r="N5">
        <v>525124</v>
      </c>
      <c r="O5">
        <v>5.24861569215392</v>
      </c>
      <c r="R5">
        <f t="shared" si="0"/>
        <v>1.05</v>
      </c>
    </row>
    <row r="6" spans="1:25" x14ac:dyDescent="0.3">
      <c r="A6">
        <v>1.075E-3</v>
      </c>
      <c r="B6">
        <v>34.976691654172903</v>
      </c>
      <c r="C6">
        <v>160.85259046850501</v>
      </c>
      <c r="D6">
        <v>534017</v>
      </c>
      <c r="E6">
        <v>5.3375012493753102</v>
      </c>
      <c r="F6">
        <v>678211</v>
      </c>
      <c r="G6">
        <v>6.7787206396801603</v>
      </c>
      <c r="I6">
        <v>1.075E-3</v>
      </c>
      <c r="J6">
        <v>25.522798600699598</v>
      </c>
      <c r="K6">
        <v>118.60038483360999</v>
      </c>
      <c r="L6">
        <v>381768</v>
      </c>
      <c r="M6">
        <v>3.8157721139430198</v>
      </c>
      <c r="N6">
        <v>469286</v>
      </c>
      <c r="O6">
        <v>4.6905147426286797</v>
      </c>
      <c r="R6">
        <f t="shared" si="0"/>
        <v>1.075</v>
      </c>
    </row>
    <row r="7" spans="1:25" x14ac:dyDescent="0.3">
      <c r="A7">
        <v>1.1000000000000001E-3</v>
      </c>
      <c r="B7">
        <v>33.701579210394797</v>
      </c>
      <c r="C7">
        <v>152.10987336442301</v>
      </c>
      <c r="D7">
        <v>465232</v>
      </c>
      <c r="E7">
        <v>4.6499950024987502</v>
      </c>
      <c r="F7">
        <v>580811</v>
      </c>
      <c r="G7">
        <v>5.8052073963018396</v>
      </c>
      <c r="I7">
        <v>1.1000000000000001E-3</v>
      </c>
      <c r="J7">
        <v>25.33201399</v>
      </c>
      <c r="K7">
        <v>115.25186119999999</v>
      </c>
      <c r="L7">
        <v>332229</v>
      </c>
      <c r="M7">
        <v>3.3206296850000001</v>
      </c>
      <c r="N7">
        <v>403594</v>
      </c>
      <c r="O7">
        <v>4.0339230380000002</v>
      </c>
      <c r="R7">
        <f t="shared" si="0"/>
        <v>1.1000000000000001</v>
      </c>
    </row>
    <row r="8" spans="1:25" x14ac:dyDescent="0.3">
      <c r="A8">
        <v>1.1249999999999999E-3</v>
      </c>
      <c r="B8">
        <v>32.669155422288803</v>
      </c>
      <c r="C8">
        <v>144.901837066095</v>
      </c>
      <c r="D8">
        <v>409712</v>
      </c>
      <c r="E8">
        <v>4.0950724637681102</v>
      </c>
      <c r="F8">
        <v>500536</v>
      </c>
      <c r="G8">
        <v>5.0028585707146398</v>
      </c>
      <c r="I8">
        <v>1.1249999999999999E-3</v>
      </c>
      <c r="J8">
        <v>25.27149425</v>
      </c>
      <c r="K8">
        <v>112.95021199999999</v>
      </c>
      <c r="L8">
        <v>291691</v>
      </c>
      <c r="M8">
        <v>2.9154522740000002</v>
      </c>
      <c r="N8">
        <v>351002</v>
      </c>
      <c r="O8">
        <v>3.508265867</v>
      </c>
      <c r="R8">
        <f t="shared" si="0"/>
        <v>1.125</v>
      </c>
    </row>
    <row r="9" spans="1:25" x14ac:dyDescent="0.3">
      <c r="A9">
        <v>1.15E-3</v>
      </c>
      <c r="B9">
        <v>31.303688155922</v>
      </c>
      <c r="C9">
        <v>135.66363859881099</v>
      </c>
      <c r="D9">
        <v>343007</v>
      </c>
      <c r="E9">
        <v>3.4283558220889501</v>
      </c>
      <c r="F9">
        <v>410915</v>
      </c>
      <c r="G9">
        <v>4.10709645177411</v>
      </c>
      <c r="I9">
        <v>1.15E-3</v>
      </c>
      <c r="J9">
        <v>25.243178409999999</v>
      </c>
      <c r="K9">
        <v>110.1467533</v>
      </c>
      <c r="L9">
        <v>251203</v>
      </c>
      <c r="M9">
        <v>2.5107746130000002</v>
      </c>
      <c r="N9">
        <v>298051</v>
      </c>
      <c r="O9">
        <v>2.9790204899999999</v>
      </c>
      <c r="R9">
        <f t="shared" si="0"/>
        <v>1.1499999999999999</v>
      </c>
    </row>
    <row r="10" spans="1:25" x14ac:dyDescent="0.3">
      <c r="A10">
        <v>1.175E-3</v>
      </c>
      <c r="B10">
        <v>30.600439780109902</v>
      </c>
      <c r="C10">
        <v>130.70449506162299</v>
      </c>
      <c r="D10">
        <v>304307</v>
      </c>
      <c r="E10">
        <v>3.0415492253873002</v>
      </c>
      <c r="F10">
        <v>352760</v>
      </c>
      <c r="G10">
        <v>3.5258370814592701</v>
      </c>
      <c r="I10">
        <v>1.175E-3</v>
      </c>
      <c r="J10">
        <v>25.07311344</v>
      </c>
      <c r="K10">
        <v>107.69130869999999</v>
      </c>
      <c r="L10">
        <v>217952</v>
      </c>
      <c r="M10">
        <v>2.1784307850000002</v>
      </c>
      <c r="N10">
        <v>254605</v>
      </c>
      <c r="O10">
        <v>2.5447776110000002</v>
      </c>
      <c r="R10">
        <f t="shared" si="0"/>
        <v>1.175</v>
      </c>
    </row>
    <row r="11" spans="1:25" x14ac:dyDescent="0.3">
      <c r="A11">
        <v>1.1999999999999999E-3</v>
      </c>
      <c r="B11">
        <v>29.281439280359798</v>
      </c>
      <c r="C11">
        <v>121.8690773493</v>
      </c>
      <c r="D11">
        <v>240404</v>
      </c>
      <c r="E11">
        <v>2.40283858070964</v>
      </c>
      <c r="F11">
        <v>270591</v>
      </c>
      <c r="G11">
        <v>2.7045577211394298</v>
      </c>
      <c r="I11">
        <v>1.1999999999999999E-3</v>
      </c>
      <c r="J11">
        <v>25.00367816</v>
      </c>
      <c r="K11">
        <v>104.8887695</v>
      </c>
      <c r="L11">
        <v>177395</v>
      </c>
      <c r="M11">
        <v>1.7730634679999999</v>
      </c>
      <c r="N11">
        <v>201707</v>
      </c>
      <c r="O11">
        <v>2.0160619689999999</v>
      </c>
      <c r="R11">
        <f t="shared" si="0"/>
        <v>1.2</v>
      </c>
    </row>
    <row r="12" spans="1:25" x14ac:dyDescent="0.3">
      <c r="A12">
        <v>1.225E-3</v>
      </c>
      <c r="B12">
        <v>28.428275862068901</v>
      </c>
      <c r="C12">
        <v>116.06921817550599</v>
      </c>
      <c r="D12">
        <v>198375</v>
      </c>
      <c r="E12">
        <v>1.9827586206896499</v>
      </c>
      <c r="F12">
        <v>211128</v>
      </c>
      <c r="G12">
        <v>2.1102248875562202</v>
      </c>
      <c r="I12">
        <v>1.225E-3</v>
      </c>
      <c r="J12">
        <v>25.035572210000002</v>
      </c>
      <c r="K12">
        <v>102.76488449999999</v>
      </c>
      <c r="L12">
        <v>148896</v>
      </c>
      <c r="M12">
        <v>1.4882158919999999</v>
      </c>
      <c r="N12">
        <v>160662</v>
      </c>
      <c r="O12">
        <v>1.605817091</v>
      </c>
      <c r="R12">
        <f t="shared" si="0"/>
        <v>1.2249999999999999</v>
      </c>
    </row>
    <row r="13" spans="1:25" x14ac:dyDescent="0.3">
      <c r="A13">
        <v>1.25E-3</v>
      </c>
      <c r="B13">
        <v>27.307146426786598</v>
      </c>
      <c r="C13">
        <v>108.255762519917</v>
      </c>
      <c r="D13">
        <v>140874</v>
      </c>
      <c r="E13">
        <v>1.4080359820089901</v>
      </c>
      <c r="F13">
        <v>137533</v>
      </c>
      <c r="G13">
        <v>1.37464267866066</v>
      </c>
      <c r="I13">
        <v>1.25E-3</v>
      </c>
      <c r="J13">
        <v>24.819900050000001</v>
      </c>
      <c r="K13">
        <v>98.933883719999997</v>
      </c>
      <c r="L13">
        <v>106651</v>
      </c>
      <c r="M13">
        <v>1.065977011</v>
      </c>
      <c r="N13">
        <v>105043</v>
      </c>
      <c r="O13">
        <v>1.049905047</v>
      </c>
      <c r="R13">
        <f t="shared" si="0"/>
        <v>1.25</v>
      </c>
    </row>
    <row r="15" spans="1:25" x14ac:dyDescent="0.3">
      <c r="A15" t="s">
        <v>0</v>
      </c>
      <c r="I15" t="s">
        <v>11</v>
      </c>
    </row>
    <row r="16" spans="1:25" x14ac:dyDescent="0.3">
      <c r="A16" t="s">
        <v>3</v>
      </c>
      <c r="B16" t="s">
        <v>4</v>
      </c>
      <c r="C16" t="s">
        <v>5</v>
      </c>
      <c r="D16" t="s">
        <v>6</v>
      </c>
      <c r="E16" t="s">
        <v>7</v>
      </c>
      <c r="F16" t="s">
        <v>8</v>
      </c>
      <c r="G16" t="s">
        <v>9</v>
      </c>
      <c r="I16" t="s">
        <v>3</v>
      </c>
      <c r="J16" t="s">
        <v>4</v>
      </c>
      <c r="K16" t="s">
        <v>5</v>
      </c>
      <c r="L16" t="s">
        <v>6</v>
      </c>
      <c r="M16" t="s">
        <v>7</v>
      </c>
      <c r="N16" t="s">
        <v>8</v>
      </c>
      <c r="O16" t="s">
        <v>9</v>
      </c>
      <c r="S16">
        <v>1E-3</v>
      </c>
      <c r="T16">
        <v>40.587996001999002</v>
      </c>
      <c r="U16">
        <v>198.63862984742499</v>
      </c>
      <c r="V16">
        <v>917241</v>
      </c>
      <c r="W16">
        <v>9.16782608695652</v>
      </c>
      <c r="X16">
        <v>1170690</v>
      </c>
      <c r="Y16">
        <v>11.7010494752623</v>
      </c>
    </row>
    <row r="17" spans="1:25" x14ac:dyDescent="0.3">
      <c r="A17">
        <v>1E-3</v>
      </c>
      <c r="B17">
        <v>41.585260780041096</v>
      </c>
      <c r="C17">
        <v>205.423577230484</v>
      </c>
      <c r="D17">
        <v>543522</v>
      </c>
      <c r="E17">
        <v>5.43272094836375</v>
      </c>
      <c r="F17">
        <v>2174088</v>
      </c>
      <c r="G17">
        <v>21.730883793455</v>
      </c>
      <c r="I17">
        <v>1E-3</v>
      </c>
      <c r="J17">
        <v>25.157141429999999</v>
      </c>
      <c r="K17">
        <v>124.1564678</v>
      </c>
      <c r="L17">
        <v>308119</v>
      </c>
      <c r="M17">
        <v>3.0796501749999998</v>
      </c>
      <c r="N17">
        <v>1232476</v>
      </c>
      <c r="O17">
        <v>12.318600699999999</v>
      </c>
      <c r="S17">
        <v>1.0250000000000001E-3</v>
      </c>
      <c r="T17">
        <v>38.051264367816003</v>
      </c>
      <c r="U17">
        <v>181.658278589719</v>
      </c>
      <c r="V17">
        <v>717981</v>
      </c>
      <c r="W17">
        <v>7.1762218890554701</v>
      </c>
      <c r="X17">
        <v>930785</v>
      </c>
      <c r="Y17">
        <v>9.3031984007995998</v>
      </c>
    </row>
    <row r="18" spans="1:25" x14ac:dyDescent="0.3">
      <c r="A18">
        <v>1.0250000000000001E-3</v>
      </c>
      <c r="B18">
        <v>38.5413193403298</v>
      </c>
      <c r="C18">
        <v>185.358622730777</v>
      </c>
      <c r="D18">
        <v>434944</v>
      </c>
      <c r="E18">
        <v>4.3472663668165898</v>
      </c>
      <c r="F18">
        <v>1739776</v>
      </c>
      <c r="G18">
        <v>17.389065467266299</v>
      </c>
      <c r="I18">
        <v>1.0250000000000001E-3</v>
      </c>
      <c r="J18">
        <v>25.075702150000001</v>
      </c>
      <c r="K18">
        <v>120.93816289999999</v>
      </c>
      <c r="L18">
        <v>269268</v>
      </c>
      <c r="M18">
        <v>2.6913343329999999</v>
      </c>
      <c r="N18">
        <v>1077072</v>
      </c>
      <c r="O18">
        <v>10.765337329999999</v>
      </c>
      <c r="S18">
        <v>1.0499999999999999E-3</v>
      </c>
      <c r="T18">
        <v>36.727826086956497</v>
      </c>
      <c r="U18">
        <v>172.492685991087</v>
      </c>
      <c r="V18">
        <v>635083</v>
      </c>
      <c r="W18">
        <v>6.3476561719140401</v>
      </c>
      <c r="X18">
        <v>810992</v>
      </c>
      <c r="Y18">
        <v>8.1058670664667591</v>
      </c>
    </row>
    <row r="19" spans="1:25" x14ac:dyDescent="0.3">
      <c r="A19">
        <v>1.0499999999999999E-3</v>
      </c>
      <c r="B19">
        <v>36.256071964017899</v>
      </c>
      <c r="C19">
        <v>170.13528032900601</v>
      </c>
      <c r="D19">
        <v>356479</v>
      </c>
      <c r="E19">
        <v>3.5630084957521202</v>
      </c>
      <c r="F19">
        <v>1425916</v>
      </c>
      <c r="G19">
        <v>14.252033983008401</v>
      </c>
      <c r="I19">
        <v>1.0499999999999999E-3</v>
      </c>
      <c r="J19">
        <v>25.144677659999999</v>
      </c>
      <c r="K19">
        <v>118.69496220000001</v>
      </c>
      <c r="L19">
        <v>238810</v>
      </c>
      <c r="M19">
        <v>2.3869065470000002</v>
      </c>
      <c r="N19">
        <v>955240</v>
      </c>
      <c r="O19">
        <v>9.5476261870000005</v>
      </c>
      <c r="S19">
        <v>1.075E-3</v>
      </c>
      <c r="T19">
        <v>34.976691654172903</v>
      </c>
      <c r="U19">
        <v>160.85259046850501</v>
      </c>
      <c r="V19">
        <v>534017</v>
      </c>
      <c r="W19">
        <v>5.3375012493753102</v>
      </c>
      <c r="X19">
        <v>678211</v>
      </c>
      <c r="Y19">
        <v>6.7787206396801603</v>
      </c>
    </row>
    <row r="20" spans="1:25" x14ac:dyDescent="0.3">
      <c r="A20">
        <v>1.075E-3</v>
      </c>
      <c r="B20">
        <v>33.066126936531703</v>
      </c>
      <c r="C20">
        <v>148.91199308475299</v>
      </c>
      <c r="D20">
        <v>269013</v>
      </c>
      <c r="E20">
        <v>2.6887856071964</v>
      </c>
      <c r="F20">
        <v>1076052</v>
      </c>
      <c r="G20">
        <v>10.7551424287856</v>
      </c>
      <c r="I20">
        <v>1.075E-3</v>
      </c>
      <c r="J20">
        <v>25.11894053</v>
      </c>
      <c r="K20">
        <v>115.8331017</v>
      </c>
      <c r="L20">
        <v>209514</v>
      </c>
      <c r="M20">
        <v>2.0940929540000002</v>
      </c>
      <c r="N20">
        <v>838056</v>
      </c>
      <c r="O20">
        <v>8.3763718140000005</v>
      </c>
    </row>
    <row r="21" spans="1:25" x14ac:dyDescent="0.3">
      <c r="A21">
        <v>1.1000000000000001E-3</v>
      </c>
      <c r="B21">
        <v>32.196031980000001</v>
      </c>
      <c r="C21">
        <v>142.94115669999999</v>
      </c>
      <c r="D21">
        <v>242424</v>
      </c>
      <c r="E21">
        <v>2.4230284860000002</v>
      </c>
      <c r="F21">
        <v>969696</v>
      </c>
      <c r="G21">
        <v>9.6921139430000007</v>
      </c>
      <c r="I21">
        <v>1.1000000000000001E-3</v>
      </c>
      <c r="J21">
        <v>24.962268869999999</v>
      </c>
      <c r="K21">
        <v>113.0789936</v>
      </c>
      <c r="L21">
        <v>180895</v>
      </c>
      <c r="M21">
        <v>1.8080459769999999</v>
      </c>
      <c r="N21">
        <v>723580</v>
      </c>
      <c r="O21">
        <v>7.2321839079999997</v>
      </c>
    </row>
    <row r="22" spans="1:25" x14ac:dyDescent="0.3">
      <c r="A22">
        <v>1.1249999999999999E-3</v>
      </c>
      <c r="B22">
        <v>31.015652169999999</v>
      </c>
      <c r="C22">
        <v>134.70093249999999</v>
      </c>
      <c r="D22">
        <v>209193</v>
      </c>
      <c r="E22">
        <v>2.0908845579999999</v>
      </c>
      <c r="F22">
        <v>836772</v>
      </c>
      <c r="G22">
        <v>8.3635382309999997</v>
      </c>
      <c r="I22">
        <v>1.1249999999999999E-3</v>
      </c>
      <c r="J22">
        <v>24.92835582</v>
      </c>
      <c r="K22">
        <v>110.7496269</v>
      </c>
      <c r="L22">
        <v>156911</v>
      </c>
      <c r="M22">
        <v>1.5683258369999999</v>
      </c>
      <c r="N22">
        <v>627644</v>
      </c>
      <c r="O22">
        <v>6.2733033479999998</v>
      </c>
    </row>
    <row r="23" spans="1:25" x14ac:dyDescent="0.3">
      <c r="A23">
        <v>1.15E-3</v>
      </c>
      <c r="B23">
        <v>29.594292849999999</v>
      </c>
      <c r="C23">
        <v>125.009029</v>
      </c>
      <c r="D23">
        <v>167174</v>
      </c>
      <c r="E23">
        <v>1.670904548</v>
      </c>
      <c r="F23">
        <v>668696</v>
      </c>
      <c r="G23">
        <v>6.6836181909999999</v>
      </c>
      <c r="I23">
        <v>1.15E-3</v>
      </c>
      <c r="J23">
        <v>24.952043979999999</v>
      </c>
      <c r="K23">
        <v>108.113395</v>
      </c>
      <c r="L23">
        <v>133952</v>
      </c>
      <c r="M23">
        <v>1.3388505749999999</v>
      </c>
      <c r="N23">
        <v>535808</v>
      </c>
      <c r="O23">
        <v>5.3554022989999996</v>
      </c>
    </row>
    <row r="24" spans="1:25" x14ac:dyDescent="0.3">
      <c r="A24">
        <v>1.175E-3</v>
      </c>
      <c r="B24">
        <v>28.959010490000001</v>
      </c>
      <c r="C24">
        <v>120.6934493</v>
      </c>
      <c r="D24">
        <v>146961</v>
      </c>
      <c r="E24">
        <v>1.468875562</v>
      </c>
      <c r="F24">
        <v>587844</v>
      </c>
      <c r="G24">
        <v>5.8755022490000002</v>
      </c>
      <c r="I24">
        <v>1.175E-3</v>
      </c>
      <c r="J24">
        <v>24.807995999999999</v>
      </c>
      <c r="K24">
        <v>105.5511394</v>
      </c>
      <c r="L24">
        <v>116756</v>
      </c>
      <c r="M24">
        <v>1.166976512</v>
      </c>
      <c r="N24">
        <v>467024</v>
      </c>
      <c r="O24">
        <v>4.6679060469999998</v>
      </c>
    </row>
    <row r="25" spans="1:25" x14ac:dyDescent="0.3">
      <c r="A25">
        <v>1.1999999999999999E-3</v>
      </c>
      <c r="B25">
        <v>28.286176909999998</v>
      </c>
      <c r="C25">
        <v>115.94620930000001</v>
      </c>
      <c r="D25">
        <v>124937</v>
      </c>
      <c r="E25">
        <v>1.2487456269999999</v>
      </c>
      <c r="F25">
        <v>499748</v>
      </c>
      <c r="G25">
        <v>4.9949825089999997</v>
      </c>
      <c r="I25">
        <v>1.1999999999999999E-3</v>
      </c>
      <c r="J25">
        <v>24.68882559</v>
      </c>
      <c r="K25">
        <v>103.0726478</v>
      </c>
      <c r="L25">
        <v>98158</v>
      </c>
      <c r="M25">
        <v>0.981089455</v>
      </c>
      <c r="N25">
        <v>392632</v>
      </c>
      <c r="O25">
        <v>3.9243578210000001</v>
      </c>
    </row>
    <row r="26" spans="1:25" x14ac:dyDescent="0.3">
      <c r="A26">
        <v>1.225E-3</v>
      </c>
      <c r="B26">
        <v>27.506576710000001</v>
      </c>
      <c r="C26">
        <v>110.3882586</v>
      </c>
      <c r="D26">
        <v>97560</v>
      </c>
      <c r="E26">
        <v>0.97511244399999997</v>
      </c>
      <c r="F26">
        <v>390240</v>
      </c>
      <c r="G26">
        <v>3.9004497749999998</v>
      </c>
      <c r="I26">
        <v>1.225E-3</v>
      </c>
      <c r="J26">
        <v>24.60172914</v>
      </c>
      <c r="K26">
        <v>100.3880123</v>
      </c>
      <c r="L26">
        <v>78548</v>
      </c>
      <c r="M26">
        <v>0.78508745599999996</v>
      </c>
      <c r="N26">
        <v>314192</v>
      </c>
      <c r="O26">
        <v>3.1403498249999999</v>
      </c>
    </row>
    <row r="27" spans="1:25" x14ac:dyDescent="0.3">
      <c r="A27">
        <v>1.25E-3</v>
      </c>
      <c r="B27">
        <v>26.483428289999999</v>
      </c>
      <c r="C27">
        <v>103.45763460000001</v>
      </c>
      <c r="D27">
        <v>64756</v>
      </c>
      <c r="E27">
        <v>0.647236382</v>
      </c>
      <c r="F27">
        <v>259024</v>
      </c>
      <c r="G27">
        <v>2.5889455269999999</v>
      </c>
      <c r="I27">
        <v>1.25E-3</v>
      </c>
      <c r="J27">
        <v>24.515902050000001</v>
      </c>
      <c r="K27">
        <v>97.00313783</v>
      </c>
      <c r="L27">
        <v>53021</v>
      </c>
      <c r="M27">
        <v>0.52994502700000001</v>
      </c>
      <c r="N27">
        <v>212084</v>
      </c>
      <c r="O27">
        <v>2.1197801100000002</v>
      </c>
    </row>
    <row r="29" spans="1:25" x14ac:dyDescent="0.3">
      <c r="A29" t="s">
        <v>2</v>
      </c>
      <c r="I29" t="s">
        <v>12</v>
      </c>
    </row>
    <row r="30" spans="1:25" x14ac:dyDescent="0.3">
      <c r="A30" t="s">
        <v>3</v>
      </c>
      <c r="B30" t="s">
        <v>4</v>
      </c>
      <c r="C30" t="s">
        <v>5</v>
      </c>
      <c r="D30" t="s">
        <v>6</v>
      </c>
      <c r="E30" t="s">
        <v>7</v>
      </c>
      <c r="F30" t="s">
        <v>8</v>
      </c>
      <c r="G30" t="s">
        <v>9</v>
      </c>
      <c r="I30" t="s">
        <v>3</v>
      </c>
      <c r="J30" t="s">
        <v>4</v>
      </c>
      <c r="K30" t="s">
        <v>5</v>
      </c>
      <c r="L30" t="s">
        <v>6</v>
      </c>
      <c r="M30" t="s">
        <v>7</v>
      </c>
      <c r="N30" t="s">
        <v>8</v>
      </c>
      <c r="O30" t="s">
        <v>9</v>
      </c>
    </row>
    <row r="31" spans="1:25" x14ac:dyDescent="0.3">
      <c r="A31">
        <v>1E-3</v>
      </c>
      <c r="B31">
        <v>30.3626116866056</v>
      </c>
      <c r="C31">
        <v>131.31698690150799</v>
      </c>
      <c r="D31">
        <v>178242</v>
      </c>
      <c r="E31">
        <v>1.78740686515377</v>
      </c>
      <c r="F31">
        <f>D31*3*1584</f>
        <v>847005984</v>
      </c>
      <c r="G31">
        <f>F31/A31</f>
        <v>847005984000</v>
      </c>
      <c r="I31">
        <v>1E-3</v>
      </c>
      <c r="J31">
        <v>30.334299526598699</v>
      </c>
      <c r="K31">
        <v>131.10465400224899</v>
      </c>
      <c r="L31">
        <v>174837</v>
      </c>
      <c r="M31">
        <v>1.7535605391960201</v>
      </c>
      <c r="N31">
        <v>830825424</v>
      </c>
      <c r="O31">
        <v>8332.9196822594804</v>
      </c>
    </row>
    <row r="32" spans="1:25" x14ac:dyDescent="0.3">
      <c r="A32">
        <v>1.0250000000000001E-3</v>
      </c>
      <c r="B32">
        <v>29.599442975074101</v>
      </c>
      <c r="C32">
        <v>125.65178925574099</v>
      </c>
      <c r="D32">
        <v>169693</v>
      </c>
      <c r="E32">
        <v>1.70005810691672</v>
      </c>
      <c r="F32">
        <f>D32*3*1584</f>
        <v>806381136</v>
      </c>
      <c r="G32">
        <f>F32/A32</f>
        <v>786713303414.63403</v>
      </c>
      <c r="I32">
        <v>1.0250000000000001E-3</v>
      </c>
      <c r="J32">
        <v>29.605405513704099</v>
      </c>
      <c r="K32">
        <v>125.76822107408999</v>
      </c>
      <c r="L32">
        <v>170518</v>
      </c>
      <c r="M32">
        <v>1.7081864080782101</v>
      </c>
      <c r="N32">
        <v>810301536</v>
      </c>
      <c r="O32">
        <v>8117.30181118769</v>
      </c>
    </row>
    <row r="33" spans="1:23" x14ac:dyDescent="0.3">
      <c r="A33">
        <v>1.0499999999999999E-3</v>
      </c>
      <c r="B33">
        <v>28.9590108129755</v>
      </c>
      <c r="C33">
        <v>121.071620669734</v>
      </c>
      <c r="D33">
        <v>160908</v>
      </c>
      <c r="E33">
        <v>1.61101321585903</v>
      </c>
      <c r="F33">
        <f>D33*3*1584</f>
        <v>764634816</v>
      </c>
      <c r="G33">
        <f>F33/A33</f>
        <v>728223634285.71436</v>
      </c>
      <c r="I33">
        <v>1.0499999999999999E-3</v>
      </c>
      <c r="J33">
        <v>28.9913512647774</v>
      </c>
      <c r="K33">
        <v>121.253613482128</v>
      </c>
      <c r="L33">
        <v>163043</v>
      </c>
      <c r="M33">
        <v>1.63207839918317</v>
      </c>
      <c r="N33">
        <v>774780336</v>
      </c>
      <c r="O33">
        <v>7755.6365529184404</v>
      </c>
      <c r="Q33">
        <v>1.075E-3</v>
      </c>
      <c r="R33">
        <v>28.490885091149</v>
      </c>
      <c r="S33">
        <v>117.51520846343401</v>
      </c>
      <c r="T33">
        <v>157639</v>
      </c>
      <c r="U33">
        <v>1.5763742362576301</v>
      </c>
      <c r="V33">
        <v>749100528</v>
      </c>
      <c r="W33">
        <v>7490.9303706962901</v>
      </c>
    </row>
    <row r="34" spans="1:23" x14ac:dyDescent="0.3">
      <c r="A34">
        <v>1.075E-3</v>
      </c>
      <c r="B34">
        <v>28.414556329012601</v>
      </c>
      <c r="C34">
        <v>117.224850329554</v>
      </c>
      <c r="D34">
        <v>156123</v>
      </c>
      <c r="E34">
        <v>1.56147983677388</v>
      </c>
      <c r="F34">
        <f>D34*3*1584</f>
        <v>741896496</v>
      </c>
      <c r="G34">
        <f>F34/A34</f>
        <v>690136275348.83716</v>
      </c>
      <c r="I34">
        <v>1.075E-3</v>
      </c>
      <c r="J34">
        <v>28.4227518678175</v>
      </c>
      <c r="K34">
        <v>117.189758028567</v>
      </c>
      <c r="L34">
        <v>155886</v>
      </c>
      <c r="M34">
        <v>1.55912505125871</v>
      </c>
      <c r="N34">
        <v>740770272</v>
      </c>
      <c r="O34">
        <v>7408.9622435813999</v>
      </c>
      <c r="Q34">
        <v>1.0499999999999999E-3</v>
      </c>
      <c r="R34">
        <v>28.989098444351001</v>
      </c>
      <c r="S34">
        <v>121.192992300516</v>
      </c>
      <c r="T34">
        <v>162767</v>
      </c>
      <c r="U34">
        <v>1.6293971609906499</v>
      </c>
      <c r="V34">
        <v>773468784</v>
      </c>
      <c r="W34">
        <v>7742.89530902756</v>
      </c>
    </row>
    <row r="35" spans="1:23" x14ac:dyDescent="0.3">
      <c r="A35">
        <v>1.1000000000000001E-3</v>
      </c>
      <c r="B35">
        <v>27.927128217945501</v>
      </c>
      <c r="C35">
        <v>113.32760805916899</v>
      </c>
      <c r="D35">
        <v>142825</v>
      </c>
      <c r="E35">
        <v>1.4278930267433101</v>
      </c>
      <c r="F35">
        <f t="shared" ref="F35" si="1">D35*3*1584</f>
        <v>678704400</v>
      </c>
      <c r="G35">
        <f t="shared" ref="G35" si="2">F35/A35</f>
        <v>617004000000</v>
      </c>
      <c r="I35">
        <v>1.1000000000000001E-3</v>
      </c>
      <c r="J35">
        <v>27.908460138769399</v>
      </c>
      <c r="K35">
        <v>113.24906699008601</v>
      </c>
      <c r="L35">
        <v>142736</v>
      </c>
      <c r="M35">
        <v>1.4270460498690201</v>
      </c>
      <c r="N35">
        <v>678281472</v>
      </c>
      <c r="O35">
        <v>6781.3228289776198</v>
      </c>
      <c r="Q35">
        <v>1.0250000000000001E-3</v>
      </c>
      <c r="R35">
        <v>29.647644718779102</v>
      </c>
      <c r="S35">
        <v>125.819328392579</v>
      </c>
      <c r="T35">
        <v>167422</v>
      </c>
      <c r="U35">
        <v>1.6776255799272499</v>
      </c>
      <c r="V35">
        <v>795589344</v>
      </c>
      <c r="W35">
        <v>7972.0767558142998</v>
      </c>
    </row>
    <row r="36" spans="1:23" x14ac:dyDescent="0.3">
      <c r="A36">
        <v>1.1249999999999999E-3</v>
      </c>
      <c r="B36">
        <v>27.354124808828299</v>
      </c>
      <c r="C36">
        <v>109.50034954281701</v>
      </c>
      <c r="D36">
        <v>130836</v>
      </c>
      <c r="E36">
        <v>1.3078237922451701</v>
      </c>
      <c r="F36">
        <f>D36*3*1584</f>
        <v>621732672</v>
      </c>
      <c r="G36">
        <f>F36/A36</f>
        <v>552651264000</v>
      </c>
      <c r="I36">
        <v>1.1249999999999999E-3</v>
      </c>
      <c r="J36">
        <v>27.4427351965135</v>
      </c>
      <c r="K36">
        <v>109.85349027168699</v>
      </c>
      <c r="L36">
        <v>131077</v>
      </c>
      <c r="M36">
        <v>1.31019351485346</v>
      </c>
      <c r="N36">
        <v>622877904</v>
      </c>
      <c r="O36">
        <v>6226.0395825836604</v>
      </c>
      <c r="Q36">
        <v>1E-3</v>
      </c>
      <c r="R36">
        <v>30.437239249037201</v>
      </c>
      <c r="S36">
        <v>131.53318820304901</v>
      </c>
      <c r="T36">
        <v>176821</v>
      </c>
      <c r="U36">
        <v>1.77331715340179</v>
      </c>
      <c r="V36">
        <v>840253392</v>
      </c>
      <c r="W36">
        <v>8426.8031129653391</v>
      </c>
    </row>
    <row r="37" spans="1:23" x14ac:dyDescent="0.3">
      <c r="A37">
        <v>1.15E-3</v>
      </c>
      <c r="B37">
        <v>26.9258470764617</v>
      </c>
      <c r="C37">
        <v>106.025345091734</v>
      </c>
      <c r="D37">
        <v>114714</v>
      </c>
      <c r="E37">
        <v>1.14656671664167</v>
      </c>
      <c r="F37">
        <f t="shared" ref="F37:F38" si="3">D37*3*1584</f>
        <v>545120928</v>
      </c>
      <c r="G37">
        <f t="shared" ref="G37:G38" si="4">F37/A37</f>
        <v>474018198260.86957</v>
      </c>
      <c r="I37">
        <v>1.15E-3</v>
      </c>
      <c r="J37">
        <v>26.9018361370156</v>
      </c>
      <c r="K37">
        <v>105.911938252865</v>
      </c>
      <c r="L37">
        <v>114471</v>
      </c>
      <c r="M37">
        <v>1.1441722390476401</v>
      </c>
      <c r="N37">
        <v>543966192</v>
      </c>
      <c r="O37">
        <v>5437.1064799544201</v>
      </c>
      <c r="Q37">
        <v>1.1000000000000001E-3</v>
      </c>
      <c r="R37">
        <v>27.837273936037199</v>
      </c>
      <c r="S37">
        <v>113.030476533304</v>
      </c>
      <c r="T37">
        <v>143118</v>
      </c>
      <c r="U37">
        <v>1.43079368570485</v>
      </c>
      <c r="V37">
        <v>680096736</v>
      </c>
      <c r="W37">
        <v>6799.1315944694898</v>
      </c>
    </row>
    <row r="38" spans="1:23" x14ac:dyDescent="0.3">
      <c r="A38">
        <v>1.175E-3</v>
      </c>
      <c r="B38">
        <v>26.481104258913099</v>
      </c>
      <c r="C38">
        <v>102.79975564385499</v>
      </c>
      <c r="D38">
        <v>100014</v>
      </c>
      <c r="E38">
        <v>0.99965017141600598</v>
      </c>
      <c r="F38">
        <f t="shared" si="3"/>
        <v>475266528</v>
      </c>
      <c r="G38">
        <f t="shared" si="4"/>
        <v>404482151489.36169</v>
      </c>
      <c r="I38">
        <v>1.175E-3</v>
      </c>
      <c r="J38">
        <v>26.4699597197373</v>
      </c>
      <c r="K38">
        <v>102.76701778739501</v>
      </c>
      <c r="L38">
        <v>100015</v>
      </c>
      <c r="M38">
        <v>0.99966016651840595</v>
      </c>
      <c r="N38">
        <v>475271280</v>
      </c>
      <c r="O38">
        <v>4750.3851112954599</v>
      </c>
      <c r="Q38">
        <v>1.1249999999999999E-3</v>
      </c>
      <c r="R38">
        <v>27.388479069209499</v>
      </c>
      <c r="S38">
        <v>109.59675563099</v>
      </c>
      <c r="T38">
        <v>130938</v>
      </c>
      <c r="U38">
        <v>1.3088041261844701</v>
      </c>
      <c r="V38">
        <v>622217376</v>
      </c>
      <c r="W38">
        <v>6219.43720762864</v>
      </c>
    </row>
    <row r="39" spans="1:23" x14ac:dyDescent="0.3">
      <c r="A39">
        <v>1.1999999999999999E-3</v>
      </c>
      <c r="B39">
        <v>26.020649675162399</v>
      </c>
      <c r="C39">
        <v>99.250006089705096</v>
      </c>
      <c r="D39">
        <v>82235</v>
      </c>
      <c r="E39">
        <v>0.82193903048475703</v>
      </c>
      <c r="F39">
        <f>D39*3*1584</f>
        <v>390780720</v>
      </c>
      <c r="G39">
        <f>F39/A39</f>
        <v>325650600000</v>
      </c>
      <c r="I39">
        <v>1.1999999999999999E-3</v>
      </c>
      <c r="J39">
        <v>26.025747126436698</v>
      </c>
      <c r="K39">
        <v>99.352709081476405</v>
      </c>
      <c r="L39">
        <v>82327</v>
      </c>
      <c r="M39">
        <v>0.82285857071464197</v>
      </c>
      <c r="N39">
        <v>391217904</v>
      </c>
      <c r="O39">
        <v>3910.22392803598</v>
      </c>
      <c r="Q39">
        <v>1.15E-3</v>
      </c>
      <c r="R39">
        <v>26.940748440748401</v>
      </c>
      <c r="S39">
        <v>106.046529629383</v>
      </c>
      <c r="T39">
        <v>114493</v>
      </c>
      <c r="U39">
        <v>1.1443806972653101</v>
      </c>
      <c r="V39">
        <v>544070736</v>
      </c>
      <c r="W39">
        <v>5438.0970734047596</v>
      </c>
    </row>
    <row r="40" spans="1:23" x14ac:dyDescent="0.3">
      <c r="A40">
        <v>1.225E-3</v>
      </c>
      <c r="B40">
        <v>25.572533733133401</v>
      </c>
      <c r="C40">
        <v>95.873429446079797</v>
      </c>
      <c r="D40">
        <v>63184</v>
      </c>
      <c r="E40">
        <v>0.63152423788105905</v>
      </c>
      <c r="F40">
        <f>D40*3*1584</f>
        <v>300250368</v>
      </c>
      <c r="G40">
        <f>F40/A40</f>
        <v>245102341224.48981</v>
      </c>
      <c r="I40">
        <v>1.225E-3</v>
      </c>
      <c r="J40">
        <v>25.590934532733598</v>
      </c>
      <c r="K40">
        <v>95.926576476869798</v>
      </c>
      <c r="L40">
        <v>63233</v>
      </c>
      <c r="M40">
        <v>0.63201399300349803</v>
      </c>
      <c r="N40">
        <v>300483216</v>
      </c>
      <c r="O40">
        <v>3003.3304947526199</v>
      </c>
      <c r="Q40">
        <v>1.175E-3</v>
      </c>
      <c r="R40">
        <v>26.498625673420001</v>
      </c>
      <c r="S40">
        <v>102.792956326295</v>
      </c>
      <c r="T40">
        <v>100041</v>
      </c>
      <c r="U40">
        <v>0.99992003918080097</v>
      </c>
      <c r="V40">
        <v>475394832</v>
      </c>
      <c r="W40">
        <v>4751.62002618716</v>
      </c>
    </row>
    <row r="41" spans="1:23" x14ac:dyDescent="0.3">
      <c r="A41">
        <v>1.25E-3</v>
      </c>
      <c r="B41">
        <v>25.099790104947498</v>
      </c>
      <c r="C41">
        <v>92.088473209434994</v>
      </c>
      <c r="D41">
        <v>37581</v>
      </c>
      <c r="E41">
        <v>0.37562218890554699</v>
      </c>
      <c r="F41">
        <f t="shared" ref="F41" si="5">D41*3*1584</f>
        <v>178584912</v>
      </c>
      <c r="G41">
        <f t="shared" ref="G41" si="6">F41/A41</f>
        <v>142867929600</v>
      </c>
      <c r="I41">
        <v>1.25E-3</v>
      </c>
      <c r="J41">
        <v>25.0942628685657</v>
      </c>
      <c r="K41">
        <v>92.011849651265507</v>
      </c>
      <c r="L41">
        <v>37593</v>
      </c>
      <c r="M41">
        <v>0.37574212893553199</v>
      </c>
      <c r="N41">
        <v>178641936</v>
      </c>
      <c r="O41">
        <v>1785.5265967016401</v>
      </c>
      <c r="Q41">
        <v>1.25E-3</v>
      </c>
      <c r="R41">
        <v>25.0803698150924</v>
      </c>
      <c r="S41">
        <v>91.908538983389207</v>
      </c>
      <c r="T41">
        <v>37600</v>
      </c>
      <c r="U41">
        <v>0.37581209395302301</v>
      </c>
      <c r="V41">
        <v>178675200</v>
      </c>
      <c r="W41">
        <v>1785.85907046476</v>
      </c>
    </row>
    <row r="42" spans="1:23" x14ac:dyDescent="0.3">
      <c r="Q42">
        <v>1.225E-3</v>
      </c>
      <c r="R42">
        <v>25.563308345827</v>
      </c>
      <c r="S42">
        <v>95.865488785296293</v>
      </c>
      <c r="T42">
        <v>63169</v>
      </c>
      <c r="U42">
        <v>0.63137431284357803</v>
      </c>
      <c r="V42">
        <v>300179088</v>
      </c>
      <c r="W42">
        <v>3000.2907346326801</v>
      </c>
    </row>
    <row r="43" spans="1:23" x14ac:dyDescent="0.3">
      <c r="Q43">
        <v>1.1999999999999999E-3</v>
      </c>
      <c r="R43">
        <v>25.987686156921502</v>
      </c>
      <c r="S43">
        <v>99.199026695299196</v>
      </c>
      <c r="T43">
        <v>82323</v>
      </c>
      <c r="U43">
        <v>0.82281859070464702</v>
      </c>
      <c r="V43">
        <v>391198896</v>
      </c>
      <c r="W43">
        <v>3910.0339430284798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EAAF-6DFC-4CC6-B839-C4D695C5D307}">
  <dimension ref="A1"/>
  <sheetViews>
    <sheetView zoomScale="70" zoomScaleNormal="70" workbookViewId="0">
      <selection activeCell="X28" sqref="X28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FF6C-FE89-473F-BB3E-83760717BD4C}">
  <dimension ref="A1"/>
  <sheetViews>
    <sheetView zoomScale="70" zoomScaleNormal="70" workbookViewId="0">
      <selection activeCell="Z13" sqref="Z13"/>
    </sheetView>
  </sheetViews>
  <sheetFormatPr defaultRowHeight="16.5" x14ac:dyDescent="0.3"/>
  <cols>
    <col min="4" max="4" width="9" customWidth="1"/>
    <col min="5" max="5" width="14.125" customWidth="1"/>
  </cols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F11A-29B4-4A98-8B44-8748ECB79111}">
  <dimension ref="A1"/>
  <sheetViews>
    <sheetView zoomScale="85" zoomScaleNormal="85" workbookViewId="0">
      <selection activeCell="X32" sqref="X3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DC77-BF48-4AA8-A8BE-9409BB03F524}">
  <dimension ref="A1"/>
  <sheetViews>
    <sheetView topLeftCell="A4" zoomScale="85" zoomScaleNormal="85" workbookViewId="0">
      <selection activeCell="X10" sqref="X10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E1DCD5-3E37-4350-861D-D8B60DFE92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data</vt:lpstr>
      <vt:lpstr>hops</vt:lpstr>
      <vt:lpstr>fails</vt:lpstr>
      <vt:lpstr>overhead</vt:lpstr>
      <vt:lpstr>e2e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서권 김</dc:creator>
  <cp:lastModifiedBy>서권 김</cp:lastModifiedBy>
  <dcterms:created xsi:type="dcterms:W3CDTF">2024-03-26T14:19:06Z</dcterms:created>
  <dcterms:modified xsi:type="dcterms:W3CDTF">2024-07-16T05:05:19Z</dcterms:modified>
</cp:coreProperties>
</file>