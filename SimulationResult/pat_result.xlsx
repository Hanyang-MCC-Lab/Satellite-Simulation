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김태성\PycharmProjects\Satellite-Simulation\SimulationResult\"/>
    </mc:Choice>
  </mc:AlternateContent>
  <xr:revisionPtr revIDLastSave="0" documentId="13_ncr:1_{49407591-F9C2-4ADA-B8F7-123E3998E450}" xr6:coauthVersionLast="47" xr6:coauthVersionMax="47" xr10:uidLastSave="{00000000-0000-0000-0000-000000000000}"/>
  <bookViews>
    <workbookView xWindow="-28920" yWindow="-120" windowWidth="29040" windowHeight="15840" activeTab="3" xr2:uid="{C19D762C-91CC-43E8-9F10-A86212C580EE}"/>
  </bookViews>
  <sheets>
    <sheet name="DTDRpat_result0" sheetId="2" r:id="rId1"/>
    <sheet name="pat_result" sheetId="1" r:id="rId2"/>
    <sheet name="Sheet1" sheetId="3" r:id="rId3"/>
    <sheet name="Sheet2" sheetId="4" r:id="rId4"/>
  </sheets>
  <definedNames>
    <definedName name="ExternalData_1" localSheetId="0" hidden="1">DTDRpat_result0!$A$1:$E$383</definedName>
    <definedName name="ExternalData_1" localSheetId="2" hidden="1">Sheet1!$A$1:$G$401</definedName>
    <definedName name="ExternalData_2" localSheetId="0" hidden="1">DTDRpat_result0!$G$1:$K$427</definedName>
    <definedName name="ExternalData_3" localSheetId="0" hidden="1">DTDRpat_result0!$M$1:$P$401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2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2" i="1"/>
  <c r="J2" i="1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0B46F3-5801-487C-9A23-7A1D2832EDE4}" keepAlive="1" name="쿼리 - DTDRpat_result0" description="통합 문서의 'DTDRpat_result0' 쿼리에 대한 연결입니다." type="5" refreshedVersion="8" background="1" saveData="1">
    <dbPr connection="Provider=Microsoft.Mashup.OleDb.1;Data Source=$Workbook$;Location=DTDRpat_result0;Extended Properties=&quot;&quot;" command="SELECT * FROM [DTDRpat_result0]"/>
  </connection>
  <connection id="2" xr16:uid="{F003A27E-6052-4E65-B2AE-52DAEBBEE5AA}" keepAlive="1" name="쿼리 - DTDRpat_result0 (2)" description="통합 문서의 'DTDRpat_result0 (2)' 쿼리에 대한 연결입니다." type="5" refreshedVersion="8" background="1" saveData="1">
    <dbPr connection="Provider=Microsoft.Mashup.OleDb.1;Data Source=$Workbook$;Location=&quot;DTDRpat_result0 (2)&quot;;Extended Properties=&quot;&quot;" command="SELECT * FROM [DTDRpat_result0 (2)]"/>
  </connection>
  <connection id="3" xr16:uid="{BB36D165-3EEA-4249-8840-5D7CB17BEFD4}" keepAlive="1" name="쿼리 - DTDRpat_result0 (3)" description="통합 문서의 'DTDRpat_result0 (3)' 쿼리에 대한 연결입니다." type="5" refreshedVersion="8" background="1" saveData="1">
    <dbPr connection="Provider=Microsoft.Mashup.OleDb.1;Data Source=$Workbook$;Location=&quot;DTDRpat_result0 (3)&quot;;Extended Properties=&quot;&quot;" command="SELECT * FROM [DTDRpat_result0 (3)]"/>
  </connection>
  <connection id="4" xr16:uid="{9839CB3E-BDFA-438C-9085-38DF01256AC0}" keepAlive="1" name="쿼리 - DTDRpat_result0 (4)" description="통합 문서의 'DTDRpat_result0 (4)' 쿼리에 대한 연결입니다." type="5" refreshedVersion="8" background="1" saveData="1">
    <dbPr connection="Provider=Microsoft.Mashup.OleDb.1;Data Source=$Workbook$;Location=&quot;DTDRpat_result0 (4)&quot;;Extended Properties=&quot;&quot;" command="SELECT * FROM [DTDRpat_result0 (4)]"/>
  </connection>
</connections>
</file>

<file path=xl/sharedStrings.xml><?xml version="1.0" encoding="utf-8"?>
<sst xmlns="http://schemas.openxmlformats.org/spreadsheetml/2006/main" count="3069" uniqueCount="21">
  <si>
    <t>S1_id</t>
  </si>
  <si>
    <t>phase</t>
  </si>
  <si>
    <t>link direction</t>
  </si>
  <si>
    <t>gap of angle (rad)</t>
  </si>
  <si>
    <t>time</t>
  </si>
  <si>
    <t>distance</t>
  </si>
  <si>
    <t>SAT-0-0</t>
  </si>
  <si>
    <t>left</t>
  </si>
  <si>
    <t>right</t>
  </si>
  <si>
    <t>gap of angle (mrad)</t>
    <phoneticPr fontId="18" type="noConversion"/>
  </si>
  <si>
    <t>열1</t>
  </si>
  <si>
    <t>gap of angle (rad)2</t>
  </si>
  <si>
    <t>열2</t>
  </si>
  <si>
    <t>F=0</t>
    <phoneticPr fontId="18" type="noConversion"/>
  </si>
  <si>
    <t>F=17</t>
    <phoneticPr fontId="18" type="noConversion"/>
  </si>
  <si>
    <t>F=39</t>
    <phoneticPr fontId="18" type="noConversion"/>
  </si>
  <si>
    <t>F=8</t>
    <phoneticPr fontId="18" type="noConversion"/>
  </si>
  <si>
    <t>F=4</t>
    <phoneticPr fontId="18" type="noConversion"/>
  </si>
  <si>
    <t>left</t>
    <phoneticPr fontId="18" type="noConversion"/>
  </si>
  <si>
    <t>right</t>
    <phoneticPr fontId="18" type="noConversion"/>
  </si>
  <si>
    <t>phase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</si>
</sst>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_);[Red]\(0.000000000\)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33" borderId="10" xfId="0" applyFill="1" applyBorder="1">
      <alignment vertical="center"/>
    </xf>
    <xf numFmtId="0" fontId="0" fillId="0" borderId="10" xfId="0" applyBorder="1">
      <alignment vertical="center"/>
    </xf>
    <xf numFmtId="176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gap of angle (mrad) F=4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DTDRpat_result0!$C$1</c:f>
              <c:strCache>
                <c:ptCount val="1"/>
                <c:pt idx="0">
                  <c:v>F=4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DTDRpat_result0!$B$2:$B$383</c:f>
              <c:numCache>
                <c:formatCode>General</c:formatCode>
                <c:ptCount val="382"/>
                <c:pt idx="0">
                  <c:v>6.2630000000000012E-3</c:v>
                </c:pt>
                <c:pt idx="1">
                  <c:v>6.2630000000000012E-3</c:v>
                </c:pt>
                <c:pt idx="2">
                  <c:v>1.8851630000000021</c:v>
                </c:pt>
                <c:pt idx="3">
                  <c:v>1.8851630000000021</c:v>
                </c:pt>
                <c:pt idx="4">
                  <c:v>3.7891150000000429</c:v>
                </c:pt>
                <c:pt idx="5">
                  <c:v>3.7891150000000429</c:v>
                </c:pt>
                <c:pt idx="6">
                  <c:v>5.6680149999999898</c:v>
                </c:pt>
                <c:pt idx="7">
                  <c:v>5.6680149999999898</c:v>
                </c:pt>
                <c:pt idx="8">
                  <c:v>7.5657039999999816</c:v>
                </c:pt>
                <c:pt idx="9">
                  <c:v>7.5657039999999816</c:v>
                </c:pt>
                <c:pt idx="10">
                  <c:v>9.4508670000001374</c:v>
                </c:pt>
                <c:pt idx="11">
                  <c:v>9.4508670000001374</c:v>
                </c:pt>
                <c:pt idx="12">
                  <c:v>11.329767000000343</c:v>
                </c:pt>
                <c:pt idx="13">
                  <c:v>11.329767000000343</c:v>
                </c:pt>
                <c:pt idx="14">
                  <c:v>13.208667000000569</c:v>
                </c:pt>
                <c:pt idx="15">
                  <c:v>13.208667000000569</c:v>
                </c:pt>
                <c:pt idx="16">
                  <c:v>15.106356000000735</c:v>
                </c:pt>
                <c:pt idx="17">
                  <c:v>15.106356000000735</c:v>
                </c:pt>
                <c:pt idx="18">
                  <c:v>16.991519000000864</c:v>
                </c:pt>
                <c:pt idx="19">
                  <c:v>16.991519000000864</c:v>
                </c:pt>
                <c:pt idx="20">
                  <c:v>18.920523000001062</c:v>
                </c:pt>
                <c:pt idx="21">
                  <c:v>18.920523000001062</c:v>
                </c:pt>
                <c:pt idx="22">
                  <c:v>20.830738000001276</c:v>
                </c:pt>
                <c:pt idx="23">
                  <c:v>20.830738000001276</c:v>
                </c:pt>
                <c:pt idx="24">
                  <c:v>22.734690000001489</c:v>
                </c:pt>
                <c:pt idx="25">
                  <c:v>22.734690000001489</c:v>
                </c:pt>
                <c:pt idx="26">
                  <c:v>24.632379000001709</c:v>
                </c:pt>
                <c:pt idx="27">
                  <c:v>24.632379000001709</c:v>
                </c:pt>
                <c:pt idx="28">
                  <c:v>26.530068000001961</c:v>
                </c:pt>
                <c:pt idx="29">
                  <c:v>26.530068000001961</c:v>
                </c:pt>
                <c:pt idx="30">
                  <c:v>28.408968000002208</c:v>
                </c:pt>
                <c:pt idx="31">
                  <c:v>28.408968000002208</c:v>
                </c:pt>
                <c:pt idx="32">
                  <c:v>30.300394000002274</c:v>
                </c:pt>
                <c:pt idx="33">
                  <c:v>30.300394000002274</c:v>
                </c:pt>
                <c:pt idx="34">
                  <c:v>32.191820000002224</c:v>
                </c:pt>
                <c:pt idx="35">
                  <c:v>32.191820000002224</c:v>
                </c:pt>
                <c:pt idx="36">
                  <c:v>34.083246000001388</c:v>
                </c:pt>
                <c:pt idx="37">
                  <c:v>34.083246000001388</c:v>
                </c:pt>
                <c:pt idx="38">
                  <c:v>35.962146000000565</c:v>
                </c:pt>
                <c:pt idx="39">
                  <c:v>35.962146000000565</c:v>
                </c:pt>
                <c:pt idx="40">
                  <c:v>37.841045999999736</c:v>
                </c:pt>
                <c:pt idx="41">
                  <c:v>37.841045999999736</c:v>
                </c:pt>
                <c:pt idx="42">
                  <c:v>39.732471999998907</c:v>
                </c:pt>
                <c:pt idx="43">
                  <c:v>39.732471999998907</c:v>
                </c:pt>
                <c:pt idx="44">
                  <c:v>41.623897999998071</c:v>
                </c:pt>
                <c:pt idx="45">
                  <c:v>41.623897999998071</c:v>
                </c:pt>
                <c:pt idx="46">
                  <c:v>43.515323999997243</c:v>
                </c:pt>
                <c:pt idx="47">
                  <c:v>43.515323999997243</c:v>
                </c:pt>
                <c:pt idx="48">
                  <c:v>45.394223999996413</c:v>
                </c:pt>
                <c:pt idx="49">
                  <c:v>45.394223999996413</c:v>
                </c:pt>
                <c:pt idx="50">
                  <c:v>47.285649999995584</c:v>
                </c:pt>
                <c:pt idx="51">
                  <c:v>47.285649999995584</c:v>
                </c:pt>
                <c:pt idx="52">
                  <c:v>49.164549999994755</c:v>
                </c:pt>
                <c:pt idx="53">
                  <c:v>49.164549999994755</c:v>
                </c:pt>
                <c:pt idx="54">
                  <c:v>51.062238999993923</c:v>
                </c:pt>
                <c:pt idx="55">
                  <c:v>51.062238999993923</c:v>
                </c:pt>
                <c:pt idx="56">
                  <c:v>52.9411389999931</c:v>
                </c:pt>
                <c:pt idx="57">
                  <c:v>52.9411389999931</c:v>
                </c:pt>
                <c:pt idx="58">
                  <c:v>54.832564999992265</c:v>
                </c:pt>
                <c:pt idx="59">
                  <c:v>54.832564999992265</c:v>
                </c:pt>
                <c:pt idx="60">
                  <c:v>56.717727999991439</c:v>
                </c:pt>
                <c:pt idx="61">
                  <c:v>56.717727999991439</c:v>
                </c:pt>
                <c:pt idx="62">
                  <c:v>58.59662799999041</c:v>
                </c:pt>
                <c:pt idx="63">
                  <c:v>58.59662799999041</c:v>
                </c:pt>
                <c:pt idx="64">
                  <c:v>60.494316999989287</c:v>
                </c:pt>
                <c:pt idx="65">
                  <c:v>60.494316999989287</c:v>
                </c:pt>
                <c:pt idx="66">
                  <c:v>62.37321699998818</c:v>
                </c:pt>
                <c:pt idx="67">
                  <c:v>62.37321699998818</c:v>
                </c:pt>
                <c:pt idx="68">
                  <c:v>64.264642999987458</c:v>
                </c:pt>
                <c:pt idx="69">
                  <c:v>64.264642999987458</c:v>
                </c:pt>
                <c:pt idx="70">
                  <c:v>66.149805999988899</c:v>
                </c:pt>
                <c:pt idx="71">
                  <c:v>66.149805999988899</c:v>
                </c:pt>
                <c:pt idx="72">
                  <c:v>68.04123199999033</c:v>
                </c:pt>
                <c:pt idx="73">
                  <c:v>68.04123199999033</c:v>
                </c:pt>
                <c:pt idx="74">
                  <c:v>69.932657999992031</c:v>
                </c:pt>
                <c:pt idx="75">
                  <c:v>69.932657999992031</c:v>
                </c:pt>
                <c:pt idx="76">
                  <c:v>71.811557999993852</c:v>
                </c:pt>
                <c:pt idx="77">
                  <c:v>71.811557999993852</c:v>
                </c:pt>
                <c:pt idx="78">
                  <c:v>73.690457999995672</c:v>
                </c:pt>
                <c:pt idx="79">
                  <c:v>73.690457999995672</c:v>
                </c:pt>
                <c:pt idx="80">
                  <c:v>75.588146999997534</c:v>
                </c:pt>
                <c:pt idx="81">
                  <c:v>75.588146999997534</c:v>
                </c:pt>
                <c:pt idx="82">
                  <c:v>77.467046999999354</c:v>
                </c:pt>
                <c:pt idx="83">
                  <c:v>77.467046999999354</c:v>
                </c:pt>
                <c:pt idx="84">
                  <c:v>79.358473000001183</c:v>
                </c:pt>
                <c:pt idx="85">
                  <c:v>79.358473000001183</c:v>
                </c:pt>
                <c:pt idx="86">
                  <c:v>81.24989900000304</c:v>
                </c:pt>
                <c:pt idx="87">
                  <c:v>81.24989900000304</c:v>
                </c:pt>
                <c:pt idx="88">
                  <c:v>83.141325000004883</c:v>
                </c:pt>
                <c:pt idx="89">
                  <c:v>83.141325000004883</c:v>
                </c:pt>
                <c:pt idx="90">
                  <c:v>85.020225000006718</c:v>
                </c:pt>
                <c:pt idx="91">
                  <c:v>85.020225000006718</c:v>
                </c:pt>
                <c:pt idx="92">
                  <c:v>86.899125000008539</c:v>
                </c:pt>
                <c:pt idx="93">
                  <c:v>86.899125000008539</c:v>
                </c:pt>
                <c:pt idx="94">
                  <c:v>88.790551000010367</c:v>
                </c:pt>
                <c:pt idx="95">
                  <c:v>88.790551000010367</c:v>
                </c:pt>
                <c:pt idx="96">
                  <c:v>90.681977000012225</c:v>
                </c:pt>
                <c:pt idx="97">
                  <c:v>90.681977000012225</c:v>
                </c:pt>
                <c:pt idx="98">
                  <c:v>92.573403000014096</c:v>
                </c:pt>
                <c:pt idx="99">
                  <c:v>92.573403000014096</c:v>
                </c:pt>
                <c:pt idx="100">
                  <c:v>94.452303000016087</c:v>
                </c:pt>
                <c:pt idx="101">
                  <c:v>94.452303000016087</c:v>
                </c:pt>
                <c:pt idx="102">
                  <c:v>96.331203000018064</c:v>
                </c:pt>
                <c:pt idx="103">
                  <c:v>96.331203000018064</c:v>
                </c:pt>
                <c:pt idx="104">
                  <c:v>98.228892000020082</c:v>
                </c:pt>
                <c:pt idx="105">
                  <c:v>98.228892000020082</c:v>
                </c:pt>
                <c:pt idx="106">
                  <c:v>100.12031800002208</c:v>
                </c:pt>
                <c:pt idx="107">
                  <c:v>100.12031800002208</c:v>
                </c:pt>
                <c:pt idx="108">
                  <c:v>101.99921800002406</c:v>
                </c:pt>
                <c:pt idx="109">
                  <c:v>101.99921800002406</c:v>
                </c:pt>
                <c:pt idx="110">
                  <c:v>103.87811800002605</c:v>
                </c:pt>
                <c:pt idx="111">
                  <c:v>103.87811800002605</c:v>
                </c:pt>
                <c:pt idx="112">
                  <c:v>105.75701800002803</c:v>
                </c:pt>
                <c:pt idx="113">
                  <c:v>105.75701800002803</c:v>
                </c:pt>
                <c:pt idx="114">
                  <c:v>107.65470700003004</c:v>
                </c:pt>
                <c:pt idx="115">
                  <c:v>107.65470700003004</c:v>
                </c:pt>
                <c:pt idx="116">
                  <c:v>109.54613300003204</c:v>
                </c:pt>
                <c:pt idx="117">
                  <c:v>109.54613300003204</c:v>
                </c:pt>
                <c:pt idx="118">
                  <c:v>111.43755900003404</c:v>
                </c:pt>
                <c:pt idx="119">
                  <c:v>111.43755900003404</c:v>
                </c:pt>
                <c:pt idx="120">
                  <c:v>113.32898500003604</c:v>
                </c:pt>
                <c:pt idx="121">
                  <c:v>113.32898500003604</c:v>
                </c:pt>
                <c:pt idx="122">
                  <c:v>115.20788500003803</c:v>
                </c:pt>
                <c:pt idx="123">
                  <c:v>115.20788500003803</c:v>
                </c:pt>
                <c:pt idx="124">
                  <c:v>117.08678500003998</c:v>
                </c:pt>
                <c:pt idx="125">
                  <c:v>117.08678500003998</c:v>
                </c:pt>
                <c:pt idx="126">
                  <c:v>118.96568500004193</c:v>
                </c:pt>
                <c:pt idx="127">
                  <c:v>118.96568500004193</c:v>
                </c:pt>
                <c:pt idx="128">
                  <c:v>120.85084800004387</c:v>
                </c:pt>
                <c:pt idx="129">
                  <c:v>120.85084800004387</c:v>
                </c:pt>
                <c:pt idx="130">
                  <c:v>122.74853700004584</c:v>
                </c:pt>
                <c:pt idx="131">
                  <c:v>122.74853700004584</c:v>
                </c:pt>
                <c:pt idx="132">
                  <c:v>124.6399630000478</c:v>
                </c:pt>
                <c:pt idx="133">
                  <c:v>124.6399630000478</c:v>
                </c:pt>
                <c:pt idx="134">
                  <c:v>126.53138900004976</c:v>
                </c:pt>
                <c:pt idx="135">
                  <c:v>126.53138900004976</c:v>
                </c:pt>
                <c:pt idx="136">
                  <c:v>128.42281500005069</c:v>
                </c:pt>
                <c:pt idx="137">
                  <c:v>128.42281500005069</c:v>
                </c:pt>
                <c:pt idx="138">
                  <c:v>130.31424100004827</c:v>
                </c:pt>
                <c:pt idx="139">
                  <c:v>130.31424100004827</c:v>
                </c:pt>
                <c:pt idx="140">
                  <c:v>132.20566700004582</c:v>
                </c:pt>
                <c:pt idx="141">
                  <c:v>132.20566700004582</c:v>
                </c:pt>
                <c:pt idx="142">
                  <c:v>134.09083000004341</c:v>
                </c:pt>
                <c:pt idx="143">
                  <c:v>134.09083000004341</c:v>
                </c:pt>
                <c:pt idx="144">
                  <c:v>135.96973000004098</c:v>
                </c:pt>
                <c:pt idx="145">
                  <c:v>135.96973000004098</c:v>
                </c:pt>
                <c:pt idx="146">
                  <c:v>137.86115600003856</c:v>
                </c:pt>
                <c:pt idx="147">
                  <c:v>137.86115600003856</c:v>
                </c:pt>
                <c:pt idx="148">
                  <c:v>139.75258200003611</c:v>
                </c:pt>
                <c:pt idx="149">
                  <c:v>139.75258200003611</c:v>
                </c:pt>
                <c:pt idx="150">
                  <c:v>141.64400800003369</c:v>
                </c:pt>
                <c:pt idx="151">
                  <c:v>141.64400800003369</c:v>
                </c:pt>
                <c:pt idx="152">
                  <c:v>143.52917100003125</c:v>
                </c:pt>
                <c:pt idx="153">
                  <c:v>143.52917100003125</c:v>
                </c:pt>
                <c:pt idx="154">
                  <c:v>145.42059700002883</c:v>
                </c:pt>
                <c:pt idx="155">
                  <c:v>145.42059700002883</c:v>
                </c:pt>
                <c:pt idx="156">
                  <c:v>147.30576000002642</c:v>
                </c:pt>
                <c:pt idx="157">
                  <c:v>147.30576000002642</c:v>
                </c:pt>
                <c:pt idx="158">
                  <c:v>149.184660000024</c:v>
                </c:pt>
                <c:pt idx="159">
                  <c:v>149.184660000024</c:v>
                </c:pt>
                <c:pt idx="160">
                  <c:v>151.07608600002158</c:v>
                </c:pt>
                <c:pt idx="161">
                  <c:v>151.07608600002158</c:v>
                </c:pt>
                <c:pt idx="162">
                  <c:v>152.95498600001915</c:v>
                </c:pt>
                <c:pt idx="163">
                  <c:v>152.95498600001915</c:v>
                </c:pt>
                <c:pt idx="164">
                  <c:v>154.8464120000167</c:v>
                </c:pt>
                <c:pt idx="165">
                  <c:v>154.8464120000167</c:v>
                </c:pt>
                <c:pt idx="166">
                  <c:v>156.7253120000143</c:v>
                </c:pt>
                <c:pt idx="167">
                  <c:v>156.7253120000143</c:v>
                </c:pt>
                <c:pt idx="168">
                  <c:v>158.60421200001187</c:v>
                </c:pt>
                <c:pt idx="169">
                  <c:v>158.60421200001187</c:v>
                </c:pt>
                <c:pt idx="170">
                  <c:v>160.48311200000947</c:v>
                </c:pt>
                <c:pt idx="171">
                  <c:v>160.48311200000947</c:v>
                </c:pt>
                <c:pt idx="172">
                  <c:v>162.37453800000702</c:v>
                </c:pt>
                <c:pt idx="173">
                  <c:v>162.37453800000702</c:v>
                </c:pt>
                <c:pt idx="174">
                  <c:v>164.2659640000046</c:v>
                </c:pt>
                <c:pt idx="175">
                  <c:v>164.2659640000046</c:v>
                </c:pt>
                <c:pt idx="176">
                  <c:v>166.14486400000217</c:v>
                </c:pt>
                <c:pt idx="177">
                  <c:v>166.14486400000217</c:v>
                </c:pt>
                <c:pt idx="178">
                  <c:v>168.03628999999975</c:v>
                </c:pt>
                <c:pt idx="179">
                  <c:v>168.03628999999975</c:v>
                </c:pt>
                <c:pt idx="180">
                  <c:v>169.9277159999973</c:v>
                </c:pt>
                <c:pt idx="181">
                  <c:v>169.9277159999973</c:v>
                </c:pt>
                <c:pt idx="182">
                  <c:v>171.8066159999949</c:v>
                </c:pt>
                <c:pt idx="183">
                  <c:v>171.8066159999949</c:v>
                </c:pt>
                <c:pt idx="184">
                  <c:v>173.69804199999245</c:v>
                </c:pt>
                <c:pt idx="185">
                  <c:v>173.69804199999245</c:v>
                </c:pt>
                <c:pt idx="186">
                  <c:v>175.58946799999003</c:v>
                </c:pt>
                <c:pt idx="187">
                  <c:v>175.58946799999003</c:v>
                </c:pt>
                <c:pt idx="188">
                  <c:v>177.48089399998759</c:v>
                </c:pt>
                <c:pt idx="189">
                  <c:v>177.48089399998759</c:v>
                </c:pt>
                <c:pt idx="190">
                  <c:v>179.36605699998518</c:v>
                </c:pt>
                <c:pt idx="191">
                  <c:v>179.36605699998518</c:v>
                </c:pt>
                <c:pt idx="192">
                  <c:v>181.25748299998276</c:v>
                </c:pt>
                <c:pt idx="193">
                  <c:v>181.25748299998276</c:v>
                </c:pt>
                <c:pt idx="194">
                  <c:v>183.14890899998031</c:v>
                </c:pt>
                <c:pt idx="195">
                  <c:v>183.14890899998031</c:v>
                </c:pt>
                <c:pt idx="196">
                  <c:v>185.0340719999779</c:v>
                </c:pt>
                <c:pt idx="197">
                  <c:v>185.0340719999779</c:v>
                </c:pt>
                <c:pt idx="198">
                  <c:v>186.92549799997545</c:v>
                </c:pt>
                <c:pt idx="199">
                  <c:v>186.92549799997545</c:v>
                </c:pt>
                <c:pt idx="200">
                  <c:v>188.81066099997304</c:v>
                </c:pt>
                <c:pt idx="201">
                  <c:v>188.81066099997304</c:v>
                </c:pt>
                <c:pt idx="202">
                  <c:v>190.6958239999706</c:v>
                </c:pt>
                <c:pt idx="203">
                  <c:v>190.6958239999706</c:v>
                </c:pt>
                <c:pt idx="204">
                  <c:v>192.5747239999682</c:v>
                </c:pt>
                <c:pt idx="205">
                  <c:v>192.5747239999682</c:v>
                </c:pt>
                <c:pt idx="206">
                  <c:v>194.45988699996576</c:v>
                </c:pt>
                <c:pt idx="207">
                  <c:v>194.45988699996576</c:v>
                </c:pt>
                <c:pt idx="208">
                  <c:v>196.33878699996336</c:v>
                </c:pt>
                <c:pt idx="209">
                  <c:v>196.33878699996336</c:v>
                </c:pt>
                <c:pt idx="210">
                  <c:v>198.23021299996091</c:v>
                </c:pt>
                <c:pt idx="211">
                  <c:v>198.23021299996091</c:v>
                </c:pt>
                <c:pt idx="212">
                  <c:v>200.1153759999585</c:v>
                </c:pt>
                <c:pt idx="213">
                  <c:v>200.1153759999585</c:v>
                </c:pt>
                <c:pt idx="214">
                  <c:v>202.00680199995605</c:v>
                </c:pt>
                <c:pt idx="215">
                  <c:v>202.00680199995605</c:v>
                </c:pt>
                <c:pt idx="216">
                  <c:v>203.89822799995363</c:v>
                </c:pt>
                <c:pt idx="217">
                  <c:v>203.89822799995363</c:v>
                </c:pt>
                <c:pt idx="218">
                  <c:v>205.78339099995119</c:v>
                </c:pt>
                <c:pt idx="219">
                  <c:v>205.78339099995119</c:v>
                </c:pt>
                <c:pt idx="220">
                  <c:v>207.66855399994878</c:v>
                </c:pt>
                <c:pt idx="221">
                  <c:v>207.66855399994878</c:v>
                </c:pt>
                <c:pt idx="222">
                  <c:v>209.55371699994635</c:v>
                </c:pt>
                <c:pt idx="223">
                  <c:v>209.55371699994635</c:v>
                </c:pt>
                <c:pt idx="224">
                  <c:v>211.43887999994394</c:v>
                </c:pt>
                <c:pt idx="225">
                  <c:v>211.43887999994394</c:v>
                </c:pt>
                <c:pt idx="226">
                  <c:v>213.3240429999415</c:v>
                </c:pt>
                <c:pt idx="227">
                  <c:v>213.3240429999415</c:v>
                </c:pt>
                <c:pt idx="228">
                  <c:v>215.2029429999391</c:v>
                </c:pt>
                <c:pt idx="229">
                  <c:v>215.2029429999391</c:v>
                </c:pt>
                <c:pt idx="230">
                  <c:v>217.09436899993665</c:v>
                </c:pt>
                <c:pt idx="231">
                  <c:v>217.09436899993665</c:v>
                </c:pt>
                <c:pt idx="232">
                  <c:v>218.98579499993423</c:v>
                </c:pt>
                <c:pt idx="233">
                  <c:v>218.98579499993423</c:v>
                </c:pt>
                <c:pt idx="234">
                  <c:v>220.87095799993179</c:v>
                </c:pt>
                <c:pt idx="235">
                  <c:v>220.87095799993179</c:v>
                </c:pt>
                <c:pt idx="236">
                  <c:v>222.75612099992938</c:v>
                </c:pt>
                <c:pt idx="237">
                  <c:v>222.75612099992938</c:v>
                </c:pt>
                <c:pt idx="238">
                  <c:v>224.64128399992694</c:v>
                </c:pt>
                <c:pt idx="239">
                  <c:v>224.64128399992694</c:v>
                </c:pt>
                <c:pt idx="240">
                  <c:v>226.53270999992452</c:v>
                </c:pt>
                <c:pt idx="241">
                  <c:v>226.53270999992452</c:v>
                </c:pt>
                <c:pt idx="242">
                  <c:v>228.42413599992207</c:v>
                </c:pt>
                <c:pt idx="243">
                  <c:v>228.42413599992207</c:v>
                </c:pt>
                <c:pt idx="244">
                  <c:v>230.30929899992211</c:v>
                </c:pt>
                <c:pt idx="245">
                  <c:v>230.30929899992211</c:v>
                </c:pt>
                <c:pt idx="246">
                  <c:v>232.19446199992382</c:v>
                </c:pt>
                <c:pt idx="247">
                  <c:v>232.19446199992382</c:v>
                </c:pt>
                <c:pt idx="248">
                  <c:v>234.07336199992565</c:v>
                </c:pt>
                <c:pt idx="249">
                  <c:v>234.07336199992565</c:v>
                </c:pt>
                <c:pt idx="250">
                  <c:v>235.96478799992752</c:v>
                </c:pt>
                <c:pt idx="251">
                  <c:v>235.96478799992752</c:v>
                </c:pt>
                <c:pt idx="252">
                  <c:v>237.84368799992936</c:v>
                </c:pt>
                <c:pt idx="253">
                  <c:v>237.84368799992936</c:v>
                </c:pt>
                <c:pt idx="254">
                  <c:v>239.72885099993115</c:v>
                </c:pt>
                <c:pt idx="255">
                  <c:v>239.72885099993115</c:v>
                </c:pt>
                <c:pt idx="256">
                  <c:v>241.60775099993299</c:v>
                </c:pt>
                <c:pt idx="257">
                  <c:v>241.60775099993299</c:v>
                </c:pt>
                <c:pt idx="258">
                  <c:v>243.48665099993485</c:v>
                </c:pt>
                <c:pt idx="259">
                  <c:v>243.48665099993485</c:v>
                </c:pt>
                <c:pt idx="260">
                  <c:v>245.37807699993664</c:v>
                </c:pt>
                <c:pt idx="261">
                  <c:v>245.37807699993664</c:v>
                </c:pt>
                <c:pt idx="262">
                  <c:v>247.26950299993851</c:v>
                </c:pt>
                <c:pt idx="263">
                  <c:v>247.26950299993851</c:v>
                </c:pt>
                <c:pt idx="264">
                  <c:v>249.15466599994036</c:v>
                </c:pt>
                <c:pt idx="265">
                  <c:v>249.15466599994036</c:v>
                </c:pt>
                <c:pt idx="266">
                  <c:v>251.03982899994216</c:v>
                </c:pt>
                <c:pt idx="267">
                  <c:v>251.03982899994216</c:v>
                </c:pt>
                <c:pt idx="268">
                  <c:v>252.931254999944</c:v>
                </c:pt>
                <c:pt idx="269">
                  <c:v>252.931254999944</c:v>
                </c:pt>
                <c:pt idx="270">
                  <c:v>254.82268099994587</c:v>
                </c:pt>
                <c:pt idx="271">
                  <c:v>254.82268099994587</c:v>
                </c:pt>
                <c:pt idx="272">
                  <c:v>256.71410699994607</c:v>
                </c:pt>
                <c:pt idx="273">
                  <c:v>256.71410699994607</c:v>
                </c:pt>
                <c:pt idx="274">
                  <c:v>258.59926999994366</c:v>
                </c:pt>
                <c:pt idx="275">
                  <c:v>258.59926999994366</c:v>
                </c:pt>
                <c:pt idx="276">
                  <c:v>260.49069599994124</c:v>
                </c:pt>
                <c:pt idx="277">
                  <c:v>260.49069599994124</c:v>
                </c:pt>
                <c:pt idx="278">
                  <c:v>262.38212199993882</c:v>
                </c:pt>
                <c:pt idx="279">
                  <c:v>262.38212199993882</c:v>
                </c:pt>
                <c:pt idx="280">
                  <c:v>264.27354799993634</c:v>
                </c:pt>
                <c:pt idx="281">
                  <c:v>264.27354799993634</c:v>
                </c:pt>
                <c:pt idx="282">
                  <c:v>266.15871099993393</c:v>
                </c:pt>
                <c:pt idx="283">
                  <c:v>266.15871099993393</c:v>
                </c:pt>
                <c:pt idx="284">
                  <c:v>268.04387399993152</c:v>
                </c:pt>
                <c:pt idx="285">
                  <c:v>268.04387399993152</c:v>
                </c:pt>
                <c:pt idx="286">
                  <c:v>269.92903699992911</c:v>
                </c:pt>
                <c:pt idx="287">
                  <c:v>269.92903699992911</c:v>
                </c:pt>
                <c:pt idx="288">
                  <c:v>271.81419999992664</c:v>
                </c:pt>
                <c:pt idx="289">
                  <c:v>271.81419999992664</c:v>
                </c:pt>
                <c:pt idx="290">
                  <c:v>273.70562599992422</c:v>
                </c:pt>
                <c:pt idx="291">
                  <c:v>273.70562599992422</c:v>
                </c:pt>
                <c:pt idx="292">
                  <c:v>275.59078899992181</c:v>
                </c:pt>
                <c:pt idx="293">
                  <c:v>275.59078899992181</c:v>
                </c:pt>
                <c:pt idx="294">
                  <c:v>277.4759519999194</c:v>
                </c:pt>
                <c:pt idx="295">
                  <c:v>277.4759519999194</c:v>
                </c:pt>
                <c:pt idx="296">
                  <c:v>279.36111499991694</c:v>
                </c:pt>
                <c:pt idx="297">
                  <c:v>279.36111499991694</c:v>
                </c:pt>
                <c:pt idx="298">
                  <c:v>281.24627799991453</c:v>
                </c:pt>
                <c:pt idx="299">
                  <c:v>281.24627799991453</c:v>
                </c:pt>
                <c:pt idx="300">
                  <c:v>283.13770399991211</c:v>
                </c:pt>
                <c:pt idx="301">
                  <c:v>283.13770399991211</c:v>
                </c:pt>
                <c:pt idx="302">
                  <c:v>285.01660399990971</c:v>
                </c:pt>
                <c:pt idx="303">
                  <c:v>285.01660399990971</c:v>
                </c:pt>
                <c:pt idx="304">
                  <c:v>286.90802999990723</c:v>
                </c:pt>
                <c:pt idx="305">
                  <c:v>286.90802999990723</c:v>
                </c:pt>
                <c:pt idx="306">
                  <c:v>288.79319299990482</c:v>
                </c:pt>
                <c:pt idx="307">
                  <c:v>288.79319299990482</c:v>
                </c:pt>
                <c:pt idx="308">
                  <c:v>290.67835599990241</c:v>
                </c:pt>
                <c:pt idx="309">
                  <c:v>290.67835599990241</c:v>
                </c:pt>
                <c:pt idx="310">
                  <c:v>292.55725599990001</c:v>
                </c:pt>
                <c:pt idx="311">
                  <c:v>292.55725599990001</c:v>
                </c:pt>
                <c:pt idx="312">
                  <c:v>294.44868199989753</c:v>
                </c:pt>
                <c:pt idx="313">
                  <c:v>294.44868199989753</c:v>
                </c:pt>
                <c:pt idx="314">
                  <c:v>296.33384499989512</c:v>
                </c:pt>
                <c:pt idx="315">
                  <c:v>296.33384499989512</c:v>
                </c:pt>
                <c:pt idx="316">
                  <c:v>298.21900799989271</c:v>
                </c:pt>
                <c:pt idx="317">
                  <c:v>298.21900799989271</c:v>
                </c:pt>
                <c:pt idx="318">
                  <c:v>300.1041709998903</c:v>
                </c:pt>
                <c:pt idx="319">
                  <c:v>300.1041709998903</c:v>
                </c:pt>
                <c:pt idx="320">
                  <c:v>301.99559699988788</c:v>
                </c:pt>
                <c:pt idx="321">
                  <c:v>301.99559699988788</c:v>
                </c:pt>
                <c:pt idx="322">
                  <c:v>303.8870229998854</c:v>
                </c:pt>
                <c:pt idx="323">
                  <c:v>303.8870229998854</c:v>
                </c:pt>
                <c:pt idx="324">
                  <c:v>305.77844899988298</c:v>
                </c:pt>
                <c:pt idx="325">
                  <c:v>305.77844899988298</c:v>
                </c:pt>
                <c:pt idx="326">
                  <c:v>307.66987499988056</c:v>
                </c:pt>
                <c:pt idx="327">
                  <c:v>307.66987499988056</c:v>
                </c:pt>
                <c:pt idx="328">
                  <c:v>309.55503799987815</c:v>
                </c:pt>
                <c:pt idx="329">
                  <c:v>309.55503799987815</c:v>
                </c:pt>
                <c:pt idx="330">
                  <c:v>311.44020099987569</c:v>
                </c:pt>
                <c:pt idx="331">
                  <c:v>311.44020099987569</c:v>
                </c:pt>
                <c:pt idx="332">
                  <c:v>313.32536399987328</c:v>
                </c:pt>
                <c:pt idx="333">
                  <c:v>313.32536399987328</c:v>
                </c:pt>
                <c:pt idx="334">
                  <c:v>315.21052699987086</c:v>
                </c:pt>
                <c:pt idx="335">
                  <c:v>315.21052699987086</c:v>
                </c:pt>
                <c:pt idx="336">
                  <c:v>317.10195299986844</c:v>
                </c:pt>
                <c:pt idx="337">
                  <c:v>317.10195299986844</c:v>
                </c:pt>
                <c:pt idx="338">
                  <c:v>318.98711599986598</c:v>
                </c:pt>
                <c:pt idx="339">
                  <c:v>318.98711599986598</c:v>
                </c:pt>
                <c:pt idx="340">
                  <c:v>320.87227899986357</c:v>
                </c:pt>
                <c:pt idx="341">
                  <c:v>320.87227899986357</c:v>
                </c:pt>
                <c:pt idx="342">
                  <c:v>322.75744199986116</c:v>
                </c:pt>
                <c:pt idx="343">
                  <c:v>322.75744199986116</c:v>
                </c:pt>
                <c:pt idx="344">
                  <c:v>324.64260499985875</c:v>
                </c:pt>
                <c:pt idx="345">
                  <c:v>324.64260499985875</c:v>
                </c:pt>
                <c:pt idx="346">
                  <c:v>326.52776799985628</c:v>
                </c:pt>
                <c:pt idx="347">
                  <c:v>326.52776799985628</c:v>
                </c:pt>
                <c:pt idx="348">
                  <c:v>328.41919399985386</c:v>
                </c:pt>
                <c:pt idx="349">
                  <c:v>328.41919399985386</c:v>
                </c:pt>
                <c:pt idx="350">
                  <c:v>330.31061999985144</c:v>
                </c:pt>
                <c:pt idx="351">
                  <c:v>330.31061999985144</c:v>
                </c:pt>
                <c:pt idx="352">
                  <c:v>332.20204599984902</c:v>
                </c:pt>
                <c:pt idx="353">
                  <c:v>332.20204599984902</c:v>
                </c:pt>
                <c:pt idx="354">
                  <c:v>334.09347199984654</c:v>
                </c:pt>
                <c:pt idx="355">
                  <c:v>334.09347199984654</c:v>
                </c:pt>
                <c:pt idx="356">
                  <c:v>335.97863499984413</c:v>
                </c:pt>
                <c:pt idx="357">
                  <c:v>335.97863499984413</c:v>
                </c:pt>
                <c:pt idx="358">
                  <c:v>337.86379799984172</c:v>
                </c:pt>
                <c:pt idx="359">
                  <c:v>337.86379799984172</c:v>
                </c:pt>
                <c:pt idx="360">
                  <c:v>339.74896099983931</c:v>
                </c:pt>
                <c:pt idx="361">
                  <c:v>339.74896099983931</c:v>
                </c:pt>
                <c:pt idx="362">
                  <c:v>341.63412399983685</c:v>
                </c:pt>
                <c:pt idx="363">
                  <c:v>341.63412399983685</c:v>
                </c:pt>
                <c:pt idx="364">
                  <c:v>343.52554999983442</c:v>
                </c:pt>
                <c:pt idx="365">
                  <c:v>343.52554999983442</c:v>
                </c:pt>
                <c:pt idx="366">
                  <c:v>345.416975999832</c:v>
                </c:pt>
                <c:pt idx="367">
                  <c:v>345.416975999832</c:v>
                </c:pt>
                <c:pt idx="368">
                  <c:v>347.30840199982958</c:v>
                </c:pt>
                <c:pt idx="369">
                  <c:v>347.30840199982958</c:v>
                </c:pt>
                <c:pt idx="370">
                  <c:v>349.19356499982717</c:v>
                </c:pt>
                <c:pt idx="371">
                  <c:v>349.19356499982717</c:v>
                </c:pt>
                <c:pt idx="372">
                  <c:v>351.07872799982471</c:v>
                </c:pt>
                <c:pt idx="373">
                  <c:v>351.07872799982471</c:v>
                </c:pt>
                <c:pt idx="374">
                  <c:v>352.9638909998223</c:v>
                </c:pt>
                <c:pt idx="375">
                  <c:v>352.9638909998223</c:v>
                </c:pt>
                <c:pt idx="376">
                  <c:v>354.84905399981989</c:v>
                </c:pt>
                <c:pt idx="377">
                  <c:v>354.84905399981989</c:v>
                </c:pt>
                <c:pt idx="378">
                  <c:v>356.73421699981748</c:v>
                </c:pt>
                <c:pt idx="379">
                  <c:v>356.73421699981748</c:v>
                </c:pt>
                <c:pt idx="380">
                  <c:v>358.61937999981501</c:v>
                </c:pt>
                <c:pt idx="381">
                  <c:v>358.61937999981501</c:v>
                </c:pt>
              </c:numCache>
            </c:numRef>
          </c:xVal>
          <c:yVal>
            <c:numRef>
              <c:f>DTDRpat_result0!$C$2:$C$383</c:f>
              <c:numCache>
                <c:formatCode>General</c:formatCode>
                <c:ptCount val="382"/>
                <c:pt idx="0">
                  <c:v>0.76553154821114489</c:v>
                </c:pt>
                <c:pt idx="1">
                  <c:v>0.76553222983503211</c:v>
                </c:pt>
                <c:pt idx="2">
                  <c:v>0.76574952089896986</c:v>
                </c:pt>
                <c:pt idx="3">
                  <c:v>0.76615628466548003</c:v>
                </c:pt>
                <c:pt idx="4">
                  <c:v>0.76682693044694394</c:v>
                </c:pt>
                <c:pt idx="5">
                  <c:v>0.7676461295266962</c:v>
                </c:pt>
                <c:pt idx="6">
                  <c:v>0.76873783614158708</c:v>
                </c:pt>
                <c:pt idx="7">
                  <c:v>0.76996594023584419</c:v>
                </c:pt>
                <c:pt idx="8">
                  <c:v>0.7715271016327474</c:v>
                </c:pt>
                <c:pt idx="9">
                  <c:v>0.77317096974331267</c:v>
                </c:pt>
                <c:pt idx="10">
                  <c:v>0.77515910730172488</c:v>
                </c:pt>
                <c:pt idx="11">
                  <c:v>0.77721965621702371</c:v>
                </c:pt>
                <c:pt idx="12">
                  <c:v>0.77964114291464504</c:v>
                </c:pt>
                <c:pt idx="13">
                  <c:v>0.78212155328387012</c:v>
                </c:pt>
                <c:pt idx="14">
                  <c:v>0.78499365275840993</c:v>
                </c:pt>
                <c:pt idx="15">
                  <c:v>0.78789919071528991</c:v>
                </c:pt>
                <c:pt idx="16">
                  <c:v>0.79129479041058948</c:v>
                </c:pt>
                <c:pt idx="17">
                  <c:v>0.79463595160548972</c:v>
                </c:pt>
                <c:pt idx="18">
                  <c:v>0.79845830764062209</c:v>
                </c:pt>
                <c:pt idx="19">
                  <c:v>0.80223905087823977</c:v>
                </c:pt>
                <c:pt idx="20">
                  <c:v>0.80673619263485163</c:v>
                </c:pt>
                <c:pt idx="21">
                  <c:v>0.81097450295228735</c:v>
                </c:pt>
                <c:pt idx="22">
                  <c:v>0.81589476259946803</c:v>
                </c:pt>
                <c:pt idx="23">
                  <c:v>0.82059448660373957</c:v>
                </c:pt>
                <c:pt idx="24">
                  <c:v>0.82599281744181885</c:v>
                </c:pt>
                <c:pt idx="25">
                  <c:v>0.83116113899558752</c:v>
                </c:pt>
                <c:pt idx="26">
                  <c:v>0.83703903788638334</c:v>
                </c:pt>
                <c:pt idx="27">
                  <c:v>0.84268320824221477</c:v>
                </c:pt>
                <c:pt idx="28">
                  <c:v>0.84908358128755057</c:v>
                </c:pt>
                <c:pt idx="29">
                  <c:v>0.85521266688525266</c:v>
                </c:pt>
                <c:pt idx="30">
                  <c:v>0.86201084721670607</c:v>
                </c:pt>
                <c:pt idx="31">
                  <c:v>0.86862883334228347</c:v>
                </c:pt>
                <c:pt idx="32">
                  <c:v>0.87604939270330795</c:v>
                </c:pt>
                <c:pt idx="33">
                  <c:v>0.88316792725745508</c:v>
                </c:pt>
                <c:pt idx="34">
                  <c:v>0.89113370600026121</c:v>
                </c:pt>
                <c:pt idx="35">
                  <c:v>0.8987606317127026</c:v>
                </c:pt>
                <c:pt idx="36">
                  <c:v>0.90727956574925894</c:v>
                </c:pt>
                <c:pt idx="37">
                  <c:v>0.91542160617285817</c:v>
                </c:pt>
                <c:pt idx="38">
                  <c:v>0.92438274668756681</c:v>
                </c:pt>
                <c:pt idx="39">
                  <c:v>0.93304190513670637</c:v>
                </c:pt>
                <c:pt idx="40">
                  <c:v>0.94255675294783459</c:v>
                </c:pt>
                <c:pt idx="41">
                  <c:v>0.95173641923541985</c:v>
                </c:pt>
                <c:pt idx="42">
                  <c:v>0.96193942627063078</c:v>
                </c:pt>
                <c:pt idx="43">
                  <c:v>0.97164410756698028</c:v>
                </c:pt>
                <c:pt idx="44">
                  <c:v>0.98241374750127086</c:v>
                </c:pt>
                <c:pt idx="45">
                  <c:v>0.99264144331994997</c:v>
                </c:pt>
                <c:pt idx="46">
                  <c:v>1.0039736398000254</c:v>
                </c:pt>
                <c:pt idx="47">
                  <c:v>1.0147184869236126</c:v>
                </c:pt>
                <c:pt idx="48">
                  <c:v>1.0264512251383444</c:v>
                </c:pt>
                <c:pt idx="49">
                  <c:v>1.0376995660492969</c:v>
                </c:pt>
                <c:pt idx="50">
                  <c:v>1.0501220133350664</c:v>
                </c:pt>
                <c:pt idx="51">
                  <c:v>1.0618614207652153</c:v>
                </c:pt>
                <c:pt idx="52">
                  <c:v>1.0746367754545711</c:v>
                </c:pt>
                <c:pt idx="53">
                  <c:v>1.086842075095424</c:v>
                </c:pt>
                <c:pt idx="54">
                  <c:v>1.1003591244022248</c:v>
                </c:pt>
                <c:pt idx="55">
                  <c:v>1.1130054562351519</c:v>
                </c:pt>
                <c:pt idx="56">
                  <c:v>1.1267147454310638</c:v>
                </c:pt>
                <c:pt idx="57">
                  <c:v>1.139760120875301</c:v>
                </c:pt>
                <c:pt idx="58">
                  <c:v>1.1540550889611485</c:v>
                </c:pt>
                <c:pt idx="59">
                  <c:v>1.167455075507368</c:v>
                </c:pt>
                <c:pt idx="60">
                  <c:v>1.1820096257950159</c:v>
                </c:pt>
                <c:pt idx="61">
                  <c:v>1.1957056194270375</c:v>
                </c:pt>
                <c:pt idx="62">
                  <c:v>1.2104472448837067</c:v>
                </c:pt>
                <c:pt idx="63">
                  <c:v>1.2243702209036156</c:v>
                </c:pt>
                <c:pt idx="64">
                  <c:v>1.2396032934128545</c:v>
                </c:pt>
                <c:pt idx="65">
                  <c:v>1.2536744904401596</c:v>
                </c:pt>
                <c:pt idx="66">
                  <c:v>1.2687274289262667</c:v>
                </c:pt>
                <c:pt idx="67">
                  <c:v>1.2828528591606909</c:v>
                </c:pt>
                <c:pt idx="68">
                  <c:v>1.2981036660626879</c:v>
                </c:pt>
                <c:pt idx="69">
                  <c:v>1.3121779632942214</c:v>
                </c:pt>
                <c:pt idx="70">
                  <c:v>1.3272150180900186</c:v>
                </c:pt>
                <c:pt idx="71">
                  <c:v>1.3411206181655277</c:v>
                </c:pt>
                <c:pt idx="72">
                  <c:v>1.3560030415046458</c:v>
                </c:pt>
                <c:pt idx="73">
                  <c:v>1.3696096298871139</c:v>
                </c:pt>
                <c:pt idx="74">
                  <c:v>1.384094468888158</c:v>
                </c:pt>
                <c:pt idx="75">
                  <c:v>1.3972618553054683</c:v>
                </c:pt>
                <c:pt idx="76">
                  <c:v>1.4110174079026572</c:v>
                </c:pt>
                <c:pt idx="77">
                  <c:v>1.4236016500125133</c:v>
                </c:pt>
                <c:pt idx="78">
                  <c:v>1.4366546766020232</c:v>
                </c:pt>
                <c:pt idx="79">
                  <c:v>1.4485040641889306</c:v>
                </c:pt>
                <c:pt idx="80">
                  <c:v>1.4609222927234276</c:v>
                </c:pt>
                <c:pt idx="81">
                  <c:v>1.4718733071359267</c:v>
                </c:pt>
                <c:pt idx="82">
                  <c:v>1.4830196063696095</c:v>
                </c:pt>
                <c:pt idx="83">
                  <c:v>1.4929284750017962</c:v>
                </c:pt>
                <c:pt idx="84">
                  <c:v>1.503008482030177</c:v>
                </c:pt>
                <c:pt idx="85">
                  <c:v>1.5117211447897798</c:v>
                </c:pt>
                <c:pt idx="86">
                  <c:v>1.5204330086413893</c:v>
                </c:pt>
                <c:pt idx="87">
                  <c:v>1.5278129557933033</c:v>
                </c:pt>
                <c:pt idx="88">
                  <c:v>1.5350170827898713</c:v>
                </c:pt>
                <c:pt idx="89">
                  <c:v>1.5409436776259029</c:v>
                </c:pt>
                <c:pt idx="90">
                  <c:v>1.5464545784376864</c:v>
                </c:pt>
                <c:pt idx="91">
                  <c:v>1.5508380789775169</c:v>
                </c:pt>
                <c:pt idx="92">
                  <c:v>1.5546594086023018</c:v>
                </c:pt>
                <c:pt idx="93">
                  <c:v>1.5574246811127035</c:v>
                </c:pt>
                <c:pt idx="94">
                  <c:v>1.5595109675374601</c:v>
                </c:pt>
                <c:pt idx="95">
                  <c:v>1.5605986063012423</c:v>
                </c:pt>
                <c:pt idx="96">
                  <c:v>1.5608575588335951</c:v>
                </c:pt>
                <c:pt idx="97">
                  <c:v>1.5602481484925601</c:v>
                </c:pt>
                <c:pt idx="98">
                  <c:v>1.5586751526579292</c:v>
                </c:pt>
                <c:pt idx="99">
                  <c:v>1.5563795725338141</c:v>
                </c:pt>
                <c:pt idx="100">
                  <c:v>1.5530515217967622</c:v>
                </c:pt>
                <c:pt idx="101">
                  <c:v>1.5491211932034479</c:v>
                </c:pt>
                <c:pt idx="102">
                  <c:v>1.5440818652770425</c:v>
                </c:pt>
                <c:pt idx="103">
                  <c:v>1.5385845248662786</c:v>
                </c:pt>
                <c:pt idx="104">
                  <c:v>1.5317827888038533</c:v>
                </c:pt>
                <c:pt idx="105">
                  <c:v>1.5247967928524322</c:v>
                </c:pt>
                <c:pt idx="106">
                  <c:v>1.5164921278805823</c:v>
                </c:pt>
                <c:pt idx="107">
                  <c:v>1.508137986487019</c:v>
                </c:pt>
                <c:pt idx="108">
                  <c:v>1.498552744672361</c:v>
                </c:pt>
                <c:pt idx="109">
                  <c:v>1.4889707200226003</c:v>
                </c:pt>
                <c:pt idx="110">
                  <c:v>1.4781506002792066</c:v>
                </c:pt>
                <c:pt idx="111">
                  <c:v>1.4674837185842364</c:v>
                </c:pt>
                <c:pt idx="112">
                  <c:v>1.4555858978620495</c:v>
                </c:pt>
                <c:pt idx="113">
                  <c:v>1.4439847615473016</c:v>
                </c:pt>
                <c:pt idx="114">
                  <c:v>1.4309197249144525</c:v>
                </c:pt>
                <c:pt idx="115">
                  <c:v>1.4185309644263149</c:v>
                </c:pt>
                <c:pt idx="116">
                  <c:v>1.4047832930548423</c:v>
                </c:pt>
                <c:pt idx="117">
                  <c:v>1.3917645319061382</c:v>
                </c:pt>
                <c:pt idx="118">
                  <c:v>1.3774180444104358</c:v>
                </c:pt>
                <c:pt idx="119">
                  <c:v>1.3639194511580113</c:v>
                </c:pt>
                <c:pt idx="120">
                  <c:v>1.3491327270068565</c:v>
                </c:pt>
                <c:pt idx="121">
                  <c:v>1.3352969966172294</c:v>
                </c:pt>
                <c:pt idx="122">
                  <c:v>1.3204121749717097</c:v>
                </c:pt>
                <c:pt idx="123">
                  <c:v>1.3063732023741921</c:v>
                </c:pt>
                <c:pt idx="124">
                  <c:v>1.2913371490167564</c:v>
                </c:pt>
                <c:pt idx="125">
                  <c:v>1.2772150620189824</c:v>
                </c:pt>
                <c:pt idx="126">
                  <c:v>1.2621496851317111</c:v>
                </c:pt>
                <c:pt idx="127">
                  <c:v>1.2480526610973697</c:v>
                </c:pt>
                <c:pt idx="128">
                  <c:v>1.232970126695021</c:v>
                </c:pt>
                <c:pt idx="129">
                  <c:v>1.2189944900754224</c:v>
                </c:pt>
                <c:pt idx="130">
                  <c:v>1.2038984555364707</c:v>
                </c:pt>
                <c:pt idx="131">
                  <c:v>1.190129718778022</c:v>
                </c:pt>
                <c:pt idx="132">
                  <c:v>1.1753933661672187</c:v>
                </c:pt>
                <c:pt idx="133">
                  <c:v>1.1619032987592812</c:v>
                </c:pt>
                <c:pt idx="134">
                  <c:v>1.1475023848890711</c:v>
                </c:pt>
                <c:pt idx="135">
                  <c:v>1.1343517063884523</c:v>
                </c:pt>
                <c:pt idx="136">
                  <c:v>1.1203459825918307</c:v>
                </c:pt>
                <c:pt idx="137">
                  <c:v>1.1075848383599709</c:v>
                </c:pt>
                <c:pt idx="138">
                  <c:v>1.0940230609110597</c:v>
                </c:pt>
                <c:pt idx="139">
                  <c:v>1.081691836903627</c:v>
                </c:pt>
                <c:pt idx="140">
                  <c:v>1.0686128672209794</c:v>
                </c:pt>
                <c:pt idx="141">
                  <c:v>1.0567433071781032</c:v>
                </c:pt>
                <c:pt idx="142">
                  <c:v>1.0442563663427851</c:v>
                </c:pt>
                <c:pt idx="143">
                  <c:v>1.0328708579969692</c:v>
                </c:pt>
                <c:pt idx="144">
                  <c:v>1.0209896159282073</c:v>
                </c:pt>
                <c:pt idx="145">
                  <c:v>1.0101038196464127</c:v>
                </c:pt>
                <c:pt idx="146">
                  <c:v>0.9986179471023533</c:v>
                </c:pt>
                <c:pt idx="147">
                  <c:v>0.98824698801104505</c:v>
                </c:pt>
                <c:pt idx="148">
                  <c:v>0.97732170202158231</c:v>
                </c:pt>
                <c:pt idx="149">
                  <c:v>0.96747255381774011</c:v>
                </c:pt>
                <c:pt idx="150">
                  <c:v>0.95711323001992288</c:v>
                </c:pt>
                <c:pt idx="151">
                  <c:v>0.94778887056928796</c:v>
                </c:pt>
                <c:pt idx="152">
                  <c:v>0.93805838459426361</c:v>
                </c:pt>
                <c:pt idx="153">
                  <c:v>0.9292568307636162</c:v>
                </c:pt>
                <c:pt idx="154">
                  <c:v>0.9200285127502823</c:v>
                </c:pt>
                <c:pt idx="155">
                  <c:v>0.91174858676516846</c:v>
                </c:pt>
                <c:pt idx="156">
                  <c:v>0.90313590098223151</c:v>
                </c:pt>
                <c:pt idx="157">
                  <c:v>0.89537102424629089</c:v>
                </c:pt>
                <c:pt idx="158">
                  <c:v>0.88735890706319354</c:v>
                </c:pt>
                <c:pt idx="159">
                  <c:v>0.88010100567725569</c:v>
                </c:pt>
                <c:pt idx="160">
                  <c:v>0.87253106512126077</c:v>
                </c:pt>
                <c:pt idx="161">
                  <c:v>0.86577591876757787</c:v>
                </c:pt>
                <c:pt idx="162">
                  <c:v>0.85883276596130842</c:v>
                </c:pt>
                <c:pt idx="163">
                  <c:v>0.8525688929419929</c:v>
                </c:pt>
                <c:pt idx="164">
                  <c:v>0.84606398514260728</c:v>
                </c:pt>
                <c:pt idx="165">
                  <c:v>0.84028587406864141</c:v>
                </c:pt>
                <c:pt idx="166">
                  <c:v>0.83437568187033295</c:v>
                </c:pt>
                <c:pt idx="167">
                  <c:v>0.829071309713031</c:v>
                </c:pt>
                <c:pt idx="168">
                  <c:v>0.8236618166441142</c:v>
                </c:pt>
                <c:pt idx="169">
                  <c:v>0.81882238735566026</c:v>
                </c:pt>
                <c:pt idx="170">
                  <c:v>0.81390434374903009</c:v>
                </c:pt>
                <c:pt idx="171">
                  <c:v>0.80952137797645762</c:v>
                </c:pt>
                <c:pt idx="172">
                  <c:v>0.80503019654132946</c:v>
                </c:pt>
                <c:pt idx="173">
                  <c:v>0.80109849706467384</c:v>
                </c:pt>
                <c:pt idx="174">
                  <c:v>0.79709067733073591</c:v>
                </c:pt>
                <c:pt idx="175">
                  <c:v>0.79360252271971254</c:v>
                </c:pt>
                <c:pt idx="176">
                  <c:v>0.79011348390872072</c:v>
                </c:pt>
                <c:pt idx="177">
                  <c:v>0.78705886696310434</c:v>
                </c:pt>
                <c:pt idx="178">
                  <c:v>0.78399125819915483</c:v>
                </c:pt>
                <c:pt idx="179">
                  <c:v>0.78136662432149706</c:v>
                </c:pt>
                <c:pt idx="180">
                  <c:v>0.77876048848779211</c:v>
                </c:pt>
                <c:pt idx="181">
                  <c:v>0.77656024466139928</c:v>
                </c:pt>
                <c:pt idx="182">
                  <c:v>0.77443582644649522</c:v>
                </c:pt>
                <c:pt idx="183">
                  <c:v>0.77265232284515484</c:v>
                </c:pt>
                <c:pt idx="184">
                  <c:v>0.77095005061913247</c:v>
                </c:pt>
                <c:pt idx="185">
                  <c:v>0.76958203642840739</c:v>
                </c:pt>
                <c:pt idx="186">
                  <c:v>0.76832699149426031</c:v>
                </c:pt>
                <c:pt idx="187">
                  <c:v>0.76737144830688808</c:v>
                </c:pt>
                <c:pt idx="188">
                  <c:v>0.76656079046536862</c:v>
                </c:pt>
                <c:pt idx="189">
                  <c:v>0.76601547895199606</c:v>
                </c:pt>
                <c:pt idx="190">
                  <c:v>0.76564896710133157</c:v>
                </c:pt>
                <c:pt idx="191">
                  <c:v>0.76551133126074333</c:v>
                </c:pt>
                <c:pt idx="192">
                  <c:v>0.76558337890031947</c:v>
                </c:pt>
                <c:pt idx="193">
                  <c:v>0.76585442496161282</c:v>
                </c:pt>
                <c:pt idx="194">
                  <c:v>0.76636828496399589</c:v>
                </c:pt>
                <c:pt idx="195">
                  <c:v>0.76704867458645665</c:v>
                </c:pt>
                <c:pt idx="196">
                  <c:v>0.76799870686251703</c:v>
                </c:pt>
                <c:pt idx="197">
                  <c:v>0.76908861380167759</c:v>
                </c:pt>
                <c:pt idx="198">
                  <c:v>0.77048923409596359</c:v>
                </c:pt>
                <c:pt idx="199">
                  <c:v>0.77199246152213996</c:v>
                </c:pt>
                <c:pt idx="200">
                  <c:v>0.77382893660567287</c:v>
                </c:pt>
                <c:pt idx="201">
                  <c:v>0.77574752513656342</c:v>
                </c:pt>
                <c:pt idx="202">
                  <c:v>0.77803212224472384</c:v>
                </c:pt>
                <c:pt idx="203">
                  <c:v>0.78037029788973733</c:v>
                </c:pt>
                <c:pt idx="204">
                  <c:v>0.78308970732828032</c:v>
                </c:pt>
                <c:pt idx="205">
                  <c:v>0.78585120275855957</c:v>
                </c:pt>
                <c:pt idx="206">
                  <c:v>0.78904642788290369</c:v>
                </c:pt>
                <c:pt idx="207">
                  <c:v>0.79223844965687218</c:v>
                </c:pt>
                <c:pt idx="208">
                  <c:v>0.79587510685019847</c:v>
                </c:pt>
                <c:pt idx="209">
                  <c:v>0.79950280420296382</c:v>
                </c:pt>
                <c:pt idx="210">
                  <c:v>0.80366268447508793</c:v>
                </c:pt>
                <c:pt idx="211">
                  <c:v>0.80773628373244621</c:v>
                </c:pt>
                <c:pt idx="212">
                  <c:v>0.81235179188121132</c:v>
                </c:pt>
                <c:pt idx="213">
                  <c:v>0.81687774265941682</c:v>
                </c:pt>
                <c:pt idx="214">
                  <c:v>0.82201686807113905</c:v>
                </c:pt>
                <c:pt idx="215">
                  <c:v>0.82700498218903673</c:v>
                </c:pt>
                <c:pt idx="216">
                  <c:v>0.83264823425740586</c:v>
                </c:pt>
                <c:pt idx="217">
                  <c:v>0.83810730388648103</c:v>
                </c:pt>
                <c:pt idx="218">
                  <c:v>0.84422410082842847</c:v>
                </c:pt>
                <c:pt idx="219">
                  <c:v>0.85016136816237287</c:v>
                </c:pt>
                <c:pt idx="220">
                  <c:v>0.85679641238455051</c:v>
                </c:pt>
                <c:pt idx="221">
                  <c:v>0.8632207442102573</c:v>
                </c:pt>
                <c:pt idx="222">
                  <c:v>0.87038339474712989</c:v>
                </c:pt>
                <c:pt idx="223">
                  <c:v>0.8773033567288443</c:v>
                </c:pt>
                <c:pt idx="224">
                  <c:v>0.88500260734615299</c:v>
                </c:pt>
                <c:pt idx="225">
                  <c:v>0.89242626467344033</c:v>
                </c:pt>
                <c:pt idx="226">
                  <c:v>0.90067032560591909</c:v>
                </c:pt>
                <c:pt idx="227">
                  <c:v>0.90860487489088992</c:v>
                </c:pt>
                <c:pt idx="228">
                  <c:v>0.91734350133349341</c:v>
                </c:pt>
                <c:pt idx="229">
                  <c:v>0.9257931479433793</c:v>
                </c:pt>
                <c:pt idx="230">
                  <c:v>0.9352056973817886</c:v>
                </c:pt>
                <c:pt idx="231">
                  <c:v>0.94417827104190499</c:v>
                </c:pt>
                <c:pt idx="232">
                  <c:v>0.95415719005047384</c:v>
                </c:pt>
                <c:pt idx="233">
                  <c:v>0.96365469610085608</c:v>
                </c:pt>
                <c:pt idx="234">
                  <c:v>0.974132764424818</c:v>
                </c:pt>
                <c:pt idx="235">
                  <c:v>0.984152716331817</c:v>
                </c:pt>
                <c:pt idx="236">
                  <c:v>0.9951899898475578</c:v>
                </c:pt>
                <c:pt idx="237">
                  <c:v>1.0057282071033389</c:v>
                </c:pt>
                <c:pt idx="238">
                  <c:v>1.0173180776282613</c:v>
                </c:pt>
                <c:pt idx="239">
                  <c:v>1.028366186943021</c:v>
                </c:pt>
                <c:pt idx="240">
                  <c:v>1.0405757311982144</c:v>
                </c:pt>
                <c:pt idx="241">
                  <c:v>1.052121967876553</c:v>
                </c:pt>
                <c:pt idx="242">
                  <c:v>1.0648600106980766</c:v>
                </c:pt>
                <c:pt idx="243">
                  <c:v>1.0768847855581327</c:v>
                </c:pt>
                <c:pt idx="244">
                  <c:v>1.0900414327378096</c:v>
                </c:pt>
                <c:pt idx="245">
                  <c:v>1.1025168783803498</c:v>
                </c:pt>
                <c:pt idx="246">
                  <c:v>1.116140075123222</c:v>
                </c:pt>
                <c:pt idx="247">
                  <c:v>1.1290318974140383</c:v>
                </c:pt>
                <c:pt idx="248">
                  <c:v>1.1429895365446612</c:v>
                </c:pt>
                <c:pt idx="249">
                  <c:v>1.1562534886641829</c:v>
                </c:pt>
                <c:pt idx="250">
                  <c:v>1.1707675743949155</c:v>
                </c:pt>
                <c:pt idx="251">
                  <c:v>1.184352925947052</c:v>
                </c:pt>
                <c:pt idx="252">
                  <c:v>1.1989911089092462</c:v>
                </c:pt>
                <c:pt idx="253">
                  <c:v>1.2128320754268329</c:v>
                </c:pt>
                <c:pt idx="254">
                  <c:v>1.2278008333488855</c:v>
                </c:pt>
                <c:pt idx="255">
                  <c:v>1.2418228838549845</c:v>
                </c:pt>
                <c:pt idx="256">
                  <c:v>1.2568434922420888</c:v>
                </c:pt>
                <c:pt idx="257">
                  <c:v>1.2709587458671889</c:v>
                </c:pt>
                <c:pt idx="258">
                  <c:v>1.2860273461528884</c:v>
                </c:pt>
                <c:pt idx="259">
                  <c:v>1.300136314616251</c:v>
                </c:pt>
                <c:pt idx="260">
                  <c:v>1.3153334421768803</c:v>
                </c:pt>
                <c:pt idx="261">
                  <c:v>1.3293230867763146</c:v>
                </c:pt>
                <c:pt idx="262">
                  <c:v>1.3443250954217574</c:v>
                </c:pt>
                <c:pt idx="263">
                  <c:v>1.35807005421071</c:v>
                </c:pt>
                <c:pt idx="264">
                  <c:v>1.3726426647590624</c:v>
                </c:pt>
                <c:pt idx="265">
                  <c:v>1.3860082620908756</c:v>
                </c:pt>
                <c:pt idx="266">
                  <c:v>1.4000971288357953</c:v>
                </c:pt>
                <c:pt idx="267">
                  <c:v>1.4129390276040183</c:v>
                </c:pt>
                <c:pt idx="268">
                  <c:v>1.426470331536162</c:v>
                </c:pt>
                <c:pt idx="269">
                  <c:v>1.4386351302968738</c:v>
                </c:pt>
                <c:pt idx="270">
                  <c:v>1.4513510173761037</c:v>
                </c:pt>
                <c:pt idx="271">
                  <c:v>1.4626832589502501</c:v>
                </c:pt>
                <c:pt idx="272">
                  <c:v>1.4744153331425986</c:v>
                </c:pt>
                <c:pt idx="273">
                  <c:v>1.4847597783964022</c:v>
                </c:pt>
                <c:pt idx="274">
                  <c:v>1.4952767178344202</c:v>
                </c:pt>
                <c:pt idx="275">
                  <c:v>1.5044866554793819</c:v>
                </c:pt>
                <c:pt idx="276">
                  <c:v>1.5137653807143405</c:v>
                </c:pt>
                <c:pt idx="277">
                  <c:v>1.521695762714796</c:v>
                </c:pt>
                <c:pt idx="278">
                  <c:v>1.5295207042568635</c:v>
                </c:pt>
                <c:pt idx="279">
                  <c:v>1.536043948188367</c:v>
                </c:pt>
                <c:pt idx="280">
                  <c:v>1.5422867346501468</c:v>
                </c:pt>
                <c:pt idx="281">
                  <c:v>1.5472938446749307</c:v>
                </c:pt>
                <c:pt idx="282">
                  <c:v>1.5518223316072357</c:v>
                </c:pt>
                <c:pt idx="283">
                  <c:v>1.5552326177328268</c:v>
                </c:pt>
                <c:pt idx="284">
                  <c:v>1.5580110107098952</c:v>
                </c:pt>
                <c:pt idx="285">
                  <c:v>1.5597649188262011</c:v>
                </c:pt>
                <c:pt idx="286">
                  <c:v>1.5607443670847312</c:v>
                </c:pt>
                <c:pt idx="287">
                  <c:v>1.5608109045976737</c:v>
                </c:pt>
                <c:pt idx="288">
                  <c:v>1.5599740212094433</c:v>
                </c:pt>
                <c:pt idx="289">
                  <c:v>1.5583520189535935</c:v>
                </c:pt>
                <c:pt idx="290">
                  <c:v>1.5556937548389544</c:v>
                </c:pt>
                <c:pt idx="291">
                  <c:v>1.5524064718828825</c:v>
                </c:pt>
                <c:pt idx="292">
                  <c:v>1.5480073527059588</c:v>
                </c:pt>
                <c:pt idx="293">
                  <c:v>1.5431177706733259</c:v>
                </c:pt>
                <c:pt idx="294">
                  <c:v>1.537040014664337</c:v>
                </c:pt>
                <c:pt idx="295">
                  <c:v>1.5306318877651484</c:v>
                </c:pt>
                <c:pt idx="296">
                  <c:v>1.5229781584189475</c:v>
                </c:pt>
                <c:pt idx="297">
                  <c:v>1.5151581171902708</c:v>
                </c:pt>
                <c:pt idx="298">
                  <c:v>1.5060535444444723</c:v>
                </c:pt>
                <c:pt idx="299">
                  <c:v>1.4969469962217619</c:v>
                </c:pt>
                <c:pt idx="300">
                  <c:v>1.4864656630242357</c:v>
                </c:pt>
                <c:pt idx="301">
                  <c:v>1.4762086151205382</c:v>
                </c:pt>
                <c:pt idx="302">
                  <c:v>1.4647162637082516</c:v>
                </c:pt>
                <c:pt idx="303">
                  <c:v>1.4534650158969107</c:v>
                </c:pt>
                <c:pt idx="304">
                  <c:v>1.440829208017619</c:v>
                </c:pt>
                <c:pt idx="305">
                  <c:v>1.4287316122899656</c:v>
                </c:pt>
                <c:pt idx="306">
                  <c:v>1.4153526030053751</c:v>
                </c:pt>
                <c:pt idx="307">
                  <c:v>1.402566326835142</c:v>
                </c:pt>
                <c:pt idx="308">
                  <c:v>1.3885297643129237</c:v>
                </c:pt>
                <c:pt idx="309">
                  <c:v>1.375206152390354</c:v>
                </c:pt>
                <c:pt idx="310">
                  <c:v>1.3607655316576561</c:v>
                </c:pt>
                <c:pt idx="311">
                  <c:v>1.3470507063235759</c:v>
                </c:pt>
                <c:pt idx="312">
                  <c:v>1.3320743684090723</c:v>
                </c:pt>
                <c:pt idx="313">
                  <c:v>1.3181024189156274</c:v>
                </c:pt>
                <c:pt idx="314">
                  <c:v>1.3030150412686112</c:v>
                </c:pt>
                <c:pt idx="315">
                  <c:v>1.288912596377594</c:v>
                </c:pt>
                <c:pt idx="316">
                  <c:v>1.2737478255362595</c:v>
                </c:pt>
                <c:pt idx="317">
                  <c:v>1.2596286762233708</c:v>
                </c:pt>
                <c:pt idx="318">
                  <c:v>1.2445020832587141</c:v>
                </c:pt>
                <c:pt idx="319">
                  <c:v>1.2304676157904324</c:v>
                </c:pt>
                <c:pt idx="320">
                  <c:v>1.2153854784865972</c:v>
                </c:pt>
                <c:pt idx="321">
                  <c:v>1.2015252491216566</c:v>
                </c:pt>
                <c:pt idx="322">
                  <c:v>1.1866746277034985</c:v>
                </c:pt>
                <c:pt idx="323">
                  <c:v>1.1730657100567712</c:v>
                </c:pt>
                <c:pt idx="324">
                  <c:v>1.1585234444698607</c:v>
                </c:pt>
                <c:pt idx="325">
                  <c:v>1.1452310877819185</c:v>
                </c:pt>
                <c:pt idx="326">
                  <c:v>1.1310616057065837</c:v>
                </c:pt>
                <c:pt idx="327">
                  <c:v>1.1181400546231763</c:v>
                </c:pt>
                <c:pt idx="328">
                  <c:v>1.1044832557862692</c:v>
                </c:pt>
                <c:pt idx="329">
                  <c:v>1.091975210765024</c:v>
                </c:pt>
                <c:pt idx="330">
                  <c:v>1.0787821696758828</c:v>
                </c:pt>
                <c:pt idx="331">
                  <c:v>1.0667224569152647</c:v>
                </c:pt>
                <c:pt idx="332">
                  <c:v>1.0540262827795821</c:v>
                </c:pt>
                <c:pt idx="333">
                  <c:v>1.0424417749674277</c:v>
                </c:pt>
                <c:pt idx="334">
                  <c:v>1.0302673306773578</c:v>
                </c:pt>
                <c:pt idx="335">
                  <c:v>1.0191779351701531</c:v>
                </c:pt>
                <c:pt idx="336">
                  <c:v>1.0074695253888886</c:v>
                </c:pt>
                <c:pt idx="337">
                  <c:v>0.99689084715344689</c:v>
                </c:pt>
                <c:pt idx="338">
                  <c:v>0.98580983178362502</c:v>
                </c:pt>
                <c:pt idx="339">
                  <c:v>0.97574893726914624</c:v>
                </c:pt>
                <c:pt idx="340">
                  <c:v>0.96522675111093548</c:v>
                </c:pt>
                <c:pt idx="341">
                  <c:v>0.95568814300854044</c:v>
                </c:pt>
                <c:pt idx="342">
                  <c:v>0.94572771428002977</c:v>
                </c:pt>
                <c:pt idx="343">
                  <c:v>0.93671233362699491</c:v>
                </c:pt>
                <c:pt idx="344">
                  <c:v>0.92731304184407604</c:v>
                </c:pt>
                <c:pt idx="345">
                  <c:v>0.91881904818248805</c:v>
                </c:pt>
                <c:pt idx="346">
                  <c:v>0.90997758189898315</c:v>
                </c:pt>
                <c:pt idx="347">
                  <c:v>0.90200086543900837</c:v>
                </c:pt>
                <c:pt idx="348">
                  <c:v>0.8936595848473492</c:v>
                </c:pt>
                <c:pt idx="349">
                  <c:v>0.88619604785973716</c:v>
                </c:pt>
                <c:pt idx="350">
                  <c:v>0.87840549272204727</c:v>
                </c:pt>
                <c:pt idx="351">
                  <c:v>0.87144785886129017</c:v>
                </c:pt>
                <c:pt idx="352">
                  <c:v>0.86419979065889907</c:v>
                </c:pt>
                <c:pt idx="353">
                  <c:v>0.8577400915777027</c:v>
                </c:pt>
                <c:pt idx="354">
                  <c:v>0.85102543275867715</c:v>
                </c:pt>
                <c:pt idx="355">
                  <c:v>0.84505503347162636</c:v>
                </c:pt>
                <c:pt idx="356">
                  <c:v>0.83890293900122026</c:v>
                </c:pt>
                <c:pt idx="357">
                  <c:v>0.83341136866570709</c:v>
                </c:pt>
                <c:pt idx="358">
                  <c:v>0.82776865175149028</c:v>
                </c:pt>
                <c:pt idx="359">
                  <c:v>0.82274700694448866</c:v>
                </c:pt>
                <c:pt idx="360">
                  <c:v>0.81760422845495584</c:v>
                </c:pt>
                <c:pt idx="361">
                  <c:v>0.81304389694270807</c:v>
                </c:pt>
                <c:pt idx="362">
                  <c:v>0.80839179923698734</c:v>
                </c:pt>
                <c:pt idx="363">
                  <c:v>0.80428442981820558</c:v>
                </c:pt>
                <c:pt idx="364">
                  <c:v>0.80008837442548608</c:v>
                </c:pt>
                <c:pt idx="365">
                  <c:v>0.79642746335422909</c:v>
                </c:pt>
                <c:pt idx="366">
                  <c:v>0.79270981600661228</c:v>
                </c:pt>
                <c:pt idx="367">
                  <c:v>0.78948798950637245</c:v>
                </c:pt>
                <c:pt idx="368">
                  <c:v>0.78624114215867835</c:v>
                </c:pt>
                <c:pt idx="369">
                  <c:v>0.78345170204715853</c:v>
                </c:pt>
                <c:pt idx="370">
                  <c:v>0.78068568664445082</c:v>
                </c:pt>
                <c:pt idx="371">
                  <c:v>0.77832135668542968</c:v>
                </c:pt>
                <c:pt idx="372">
                  <c:v>0.77600881193740512</c:v>
                </c:pt>
                <c:pt idx="373">
                  <c:v>0.77406433732947044</c:v>
                </c:pt>
                <c:pt idx="374">
                  <c:v>0.77220022850099423</c:v>
                </c:pt>
                <c:pt idx="375">
                  <c:v>0.7706713320438402</c:v>
                </c:pt>
                <c:pt idx="376">
                  <c:v>0.76925150192657465</c:v>
                </c:pt>
                <c:pt idx="377">
                  <c:v>0.76813478409311753</c:v>
                </c:pt>
                <c:pt idx="378">
                  <c:v>0.7671559625334553</c:v>
                </c:pt>
                <c:pt idx="379">
                  <c:v>0.76644892878151982</c:v>
                </c:pt>
                <c:pt idx="380">
                  <c:v>0.76590894446355462</c:v>
                </c:pt>
                <c:pt idx="381">
                  <c:v>0.76560998898490984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D3-49B1-88D8-368F51160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3559711"/>
        <c:axId val="763560191"/>
      </c:scatterChart>
      <c:valAx>
        <c:axId val="763559711"/>
        <c:scaling>
          <c:orientation val="minMax"/>
          <c:max val="3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63560191"/>
        <c:crosses val="autoZero"/>
        <c:crossBetween val="midCat"/>
        <c:majorUnit val="90"/>
      </c:valAx>
      <c:valAx>
        <c:axId val="763560191"/>
        <c:scaling>
          <c:orientation val="minMax"/>
          <c:max val="1.9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63559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gap of angle (mrad) F=8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DTDRpat_result0!$I$1</c:f>
              <c:strCache>
                <c:ptCount val="1"/>
                <c:pt idx="0">
                  <c:v>F=8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DTDRpat_result0!$H$2:$H$427</c:f>
              <c:numCache>
                <c:formatCode>General</c:formatCode>
                <c:ptCount val="426"/>
                <c:pt idx="0">
                  <c:v>6.2630000000000012E-3</c:v>
                </c:pt>
                <c:pt idx="1">
                  <c:v>6.2630000000000012E-3</c:v>
                </c:pt>
                <c:pt idx="2">
                  <c:v>1.8851630000000021</c:v>
                </c:pt>
                <c:pt idx="3">
                  <c:v>1.8851630000000021</c:v>
                </c:pt>
                <c:pt idx="4">
                  <c:v>3.7891150000000429</c:v>
                </c:pt>
                <c:pt idx="5">
                  <c:v>3.7891150000000429</c:v>
                </c:pt>
                <c:pt idx="6">
                  <c:v>5.6680149999999898</c:v>
                </c:pt>
                <c:pt idx="7">
                  <c:v>5.6680149999999898</c:v>
                </c:pt>
                <c:pt idx="8">
                  <c:v>7.5657039999999816</c:v>
                </c:pt>
                <c:pt idx="9">
                  <c:v>7.5657039999999816</c:v>
                </c:pt>
                <c:pt idx="10">
                  <c:v>9.4508670000001374</c:v>
                </c:pt>
                <c:pt idx="11">
                  <c:v>9.4508670000001374</c:v>
                </c:pt>
                <c:pt idx="12">
                  <c:v>11.329767000000343</c:v>
                </c:pt>
                <c:pt idx="13">
                  <c:v>11.329767000000343</c:v>
                </c:pt>
                <c:pt idx="14">
                  <c:v>13.208667000000569</c:v>
                </c:pt>
                <c:pt idx="15">
                  <c:v>13.208667000000569</c:v>
                </c:pt>
                <c:pt idx="16">
                  <c:v>15.106356000000735</c:v>
                </c:pt>
                <c:pt idx="17">
                  <c:v>15.106356000000735</c:v>
                </c:pt>
                <c:pt idx="18">
                  <c:v>16.991519000000864</c:v>
                </c:pt>
                <c:pt idx="19">
                  <c:v>16.991519000000864</c:v>
                </c:pt>
                <c:pt idx="20">
                  <c:v>18.920523000001062</c:v>
                </c:pt>
                <c:pt idx="21">
                  <c:v>18.920523000001062</c:v>
                </c:pt>
                <c:pt idx="22">
                  <c:v>20.830738000001276</c:v>
                </c:pt>
                <c:pt idx="23">
                  <c:v>20.830738000001276</c:v>
                </c:pt>
                <c:pt idx="24">
                  <c:v>22.734690000001489</c:v>
                </c:pt>
                <c:pt idx="25">
                  <c:v>22.734690000001489</c:v>
                </c:pt>
                <c:pt idx="26">
                  <c:v>24.632379000001709</c:v>
                </c:pt>
                <c:pt idx="27">
                  <c:v>24.632379000001709</c:v>
                </c:pt>
                <c:pt idx="28">
                  <c:v>26.530068000001961</c:v>
                </c:pt>
                <c:pt idx="29">
                  <c:v>26.530068000001961</c:v>
                </c:pt>
                <c:pt idx="30">
                  <c:v>28.408968000002208</c:v>
                </c:pt>
                <c:pt idx="31">
                  <c:v>28.408968000002208</c:v>
                </c:pt>
                <c:pt idx="32">
                  <c:v>30.300394000002274</c:v>
                </c:pt>
                <c:pt idx="33">
                  <c:v>30.300394000002274</c:v>
                </c:pt>
                <c:pt idx="34">
                  <c:v>32.191820000002224</c:v>
                </c:pt>
                <c:pt idx="35">
                  <c:v>32.191820000002224</c:v>
                </c:pt>
                <c:pt idx="36">
                  <c:v>34.083246000001388</c:v>
                </c:pt>
                <c:pt idx="37">
                  <c:v>34.083246000001388</c:v>
                </c:pt>
                <c:pt idx="38">
                  <c:v>35.962146000000565</c:v>
                </c:pt>
                <c:pt idx="39">
                  <c:v>35.962146000000565</c:v>
                </c:pt>
                <c:pt idx="40">
                  <c:v>37.841045999999736</c:v>
                </c:pt>
                <c:pt idx="41">
                  <c:v>37.841045999999736</c:v>
                </c:pt>
                <c:pt idx="42">
                  <c:v>39.732471999998907</c:v>
                </c:pt>
                <c:pt idx="43">
                  <c:v>39.732471999998907</c:v>
                </c:pt>
                <c:pt idx="44">
                  <c:v>41.623897999998071</c:v>
                </c:pt>
                <c:pt idx="45">
                  <c:v>41.623897999998071</c:v>
                </c:pt>
                <c:pt idx="46">
                  <c:v>43.515323999997243</c:v>
                </c:pt>
                <c:pt idx="47">
                  <c:v>43.515323999997243</c:v>
                </c:pt>
                <c:pt idx="48">
                  <c:v>45.394223999996413</c:v>
                </c:pt>
                <c:pt idx="49">
                  <c:v>45.394223999996413</c:v>
                </c:pt>
                <c:pt idx="50">
                  <c:v>47.285649999995584</c:v>
                </c:pt>
                <c:pt idx="51">
                  <c:v>47.285649999995584</c:v>
                </c:pt>
                <c:pt idx="52">
                  <c:v>49.164549999994755</c:v>
                </c:pt>
                <c:pt idx="53">
                  <c:v>49.164549999994755</c:v>
                </c:pt>
                <c:pt idx="54">
                  <c:v>51.062238999993923</c:v>
                </c:pt>
                <c:pt idx="55">
                  <c:v>51.062238999993923</c:v>
                </c:pt>
                <c:pt idx="56">
                  <c:v>52.9411389999931</c:v>
                </c:pt>
                <c:pt idx="57">
                  <c:v>52.9411389999931</c:v>
                </c:pt>
                <c:pt idx="58">
                  <c:v>54.832564999992265</c:v>
                </c:pt>
                <c:pt idx="59">
                  <c:v>54.832564999992265</c:v>
                </c:pt>
                <c:pt idx="60">
                  <c:v>56.717727999991439</c:v>
                </c:pt>
                <c:pt idx="61">
                  <c:v>56.717727999991439</c:v>
                </c:pt>
                <c:pt idx="62">
                  <c:v>58.59662799999041</c:v>
                </c:pt>
                <c:pt idx="63">
                  <c:v>58.59662799999041</c:v>
                </c:pt>
                <c:pt idx="64">
                  <c:v>60.494316999989287</c:v>
                </c:pt>
                <c:pt idx="65">
                  <c:v>60.494316999989287</c:v>
                </c:pt>
                <c:pt idx="66">
                  <c:v>62.37321699998818</c:v>
                </c:pt>
                <c:pt idx="67">
                  <c:v>62.37321699998818</c:v>
                </c:pt>
                <c:pt idx="68">
                  <c:v>64.264642999987458</c:v>
                </c:pt>
                <c:pt idx="69">
                  <c:v>64.264642999987458</c:v>
                </c:pt>
                <c:pt idx="70">
                  <c:v>66.149805999988899</c:v>
                </c:pt>
                <c:pt idx="71">
                  <c:v>66.149805999988899</c:v>
                </c:pt>
                <c:pt idx="72">
                  <c:v>68.04123199999033</c:v>
                </c:pt>
                <c:pt idx="73">
                  <c:v>68.04123199999033</c:v>
                </c:pt>
                <c:pt idx="74">
                  <c:v>69.932657999992031</c:v>
                </c:pt>
                <c:pt idx="75">
                  <c:v>69.932657999992031</c:v>
                </c:pt>
                <c:pt idx="76">
                  <c:v>71.811557999993852</c:v>
                </c:pt>
                <c:pt idx="77">
                  <c:v>71.811557999993852</c:v>
                </c:pt>
                <c:pt idx="78">
                  <c:v>73.690457999995672</c:v>
                </c:pt>
                <c:pt idx="79">
                  <c:v>73.690457999995672</c:v>
                </c:pt>
                <c:pt idx="80">
                  <c:v>75.588146999997534</c:v>
                </c:pt>
                <c:pt idx="81">
                  <c:v>75.588146999997534</c:v>
                </c:pt>
                <c:pt idx="82">
                  <c:v>77.467046999999354</c:v>
                </c:pt>
                <c:pt idx="83">
                  <c:v>77.467046999999354</c:v>
                </c:pt>
                <c:pt idx="84">
                  <c:v>79.358473000001183</c:v>
                </c:pt>
                <c:pt idx="85">
                  <c:v>79.358473000001183</c:v>
                </c:pt>
                <c:pt idx="86">
                  <c:v>81.24989900000304</c:v>
                </c:pt>
                <c:pt idx="87">
                  <c:v>81.24989900000304</c:v>
                </c:pt>
                <c:pt idx="88">
                  <c:v>83.141325000004883</c:v>
                </c:pt>
                <c:pt idx="89">
                  <c:v>83.141325000004883</c:v>
                </c:pt>
                <c:pt idx="90">
                  <c:v>85.020225000006718</c:v>
                </c:pt>
                <c:pt idx="91">
                  <c:v>85.020225000006718</c:v>
                </c:pt>
                <c:pt idx="92">
                  <c:v>86.899125000008539</c:v>
                </c:pt>
                <c:pt idx="93">
                  <c:v>86.899125000008539</c:v>
                </c:pt>
                <c:pt idx="94">
                  <c:v>88.790551000010367</c:v>
                </c:pt>
                <c:pt idx="95">
                  <c:v>88.790551000010367</c:v>
                </c:pt>
                <c:pt idx="96">
                  <c:v>90.681977000012225</c:v>
                </c:pt>
                <c:pt idx="97">
                  <c:v>90.681977000012225</c:v>
                </c:pt>
                <c:pt idx="98">
                  <c:v>92.573403000014096</c:v>
                </c:pt>
                <c:pt idx="99">
                  <c:v>92.573403000014096</c:v>
                </c:pt>
                <c:pt idx="100">
                  <c:v>94.452303000016087</c:v>
                </c:pt>
                <c:pt idx="101">
                  <c:v>94.452303000016087</c:v>
                </c:pt>
                <c:pt idx="102">
                  <c:v>96.331203000018064</c:v>
                </c:pt>
                <c:pt idx="103">
                  <c:v>96.331203000018064</c:v>
                </c:pt>
                <c:pt idx="104">
                  <c:v>98.228892000020082</c:v>
                </c:pt>
                <c:pt idx="105">
                  <c:v>98.228892000020082</c:v>
                </c:pt>
                <c:pt idx="106">
                  <c:v>100.12031800002208</c:v>
                </c:pt>
                <c:pt idx="107">
                  <c:v>100.12031800002208</c:v>
                </c:pt>
                <c:pt idx="108">
                  <c:v>101.99921800002406</c:v>
                </c:pt>
                <c:pt idx="109">
                  <c:v>101.99921800002406</c:v>
                </c:pt>
                <c:pt idx="110">
                  <c:v>103.87811800002605</c:v>
                </c:pt>
                <c:pt idx="111">
                  <c:v>103.87811800002605</c:v>
                </c:pt>
                <c:pt idx="112">
                  <c:v>105.75701800002803</c:v>
                </c:pt>
                <c:pt idx="113">
                  <c:v>105.75701800002803</c:v>
                </c:pt>
                <c:pt idx="114">
                  <c:v>107.65470700003004</c:v>
                </c:pt>
                <c:pt idx="115">
                  <c:v>107.65470700003004</c:v>
                </c:pt>
                <c:pt idx="116">
                  <c:v>109.54613300003204</c:v>
                </c:pt>
                <c:pt idx="117">
                  <c:v>109.54613300003204</c:v>
                </c:pt>
                <c:pt idx="118">
                  <c:v>111.43755900003404</c:v>
                </c:pt>
                <c:pt idx="119">
                  <c:v>111.43755900003404</c:v>
                </c:pt>
                <c:pt idx="120">
                  <c:v>113.32898500003604</c:v>
                </c:pt>
                <c:pt idx="121">
                  <c:v>113.32898500003604</c:v>
                </c:pt>
                <c:pt idx="122">
                  <c:v>115.20788500003803</c:v>
                </c:pt>
                <c:pt idx="123">
                  <c:v>115.20788500003803</c:v>
                </c:pt>
                <c:pt idx="124">
                  <c:v>117.08678500003998</c:v>
                </c:pt>
                <c:pt idx="125">
                  <c:v>117.08678500003998</c:v>
                </c:pt>
                <c:pt idx="126">
                  <c:v>118.96568500004193</c:v>
                </c:pt>
                <c:pt idx="127">
                  <c:v>118.96568500004193</c:v>
                </c:pt>
                <c:pt idx="128">
                  <c:v>120.85084800004387</c:v>
                </c:pt>
                <c:pt idx="129">
                  <c:v>120.85084800004387</c:v>
                </c:pt>
                <c:pt idx="130">
                  <c:v>122.74853700004584</c:v>
                </c:pt>
                <c:pt idx="131">
                  <c:v>122.74853700004584</c:v>
                </c:pt>
                <c:pt idx="132">
                  <c:v>124.6399630000478</c:v>
                </c:pt>
                <c:pt idx="133">
                  <c:v>124.6399630000478</c:v>
                </c:pt>
                <c:pt idx="134">
                  <c:v>126.53138900004976</c:v>
                </c:pt>
                <c:pt idx="135">
                  <c:v>126.53138900004976</c:v>
                </c:pt>
                <c:pt idx="136">
                  <c:v>128.42281500005069</c:v>
                </c:pt>
                <c:pt idx="137">
                  <c:v>128.42281500005069</c:v>
                </c:pt>
                <c:pt idx="138">
                  <c:v>130.31424100004827</c:v>
                </c:pt>
                <c:pt idx="139">
                  <c:v>130.31424100004827</c:v>
                </c:pt>
                <c:pt idx="140">
                  <c:v>132.20566700004582</c:v>
                </c:pt>
                <c:pt idx="141">
                  <c:v>132.20566700004582</c:v>
                </c:pt>
                <c:pt idx="142">
                  <c:v>134.09083000004341</c:v>
                </c:pt>
                <c:pt idx="143">
                  <c:v>134.09083000004341</c:v>
                </c:pt>
                <c:pt idx="144">
                  <c:v>135.96973000004098</c:v>
                </c:pt>
                <c:pt idx="145">
                  <c:v>135.96973000004098</c:v>
                </c:pt>
                <c:pt idx="146">
                  <c:v>137.86115600003856</c:v>
                </c:pt>
                <c:pt idx="147">
                  <c:v>137.86115600003856</c:v>
                </c:pt>
                <c:pt idx="148">
                  <c:v>139.75258200003611</c:v>
                </c:pt>
                <c:pt idx="149">
                  <c:v>139.75258200003611</c:v>
                </c:pt>
                <c:pt idx="150">
                  <c:v>141.64400800003369</c:v>
                </c:pt>
                <c:pt idx="151">
                  <c:v>141.64400800003369</c:v>
                </c:pt>
                <c:pt idx="152">
                  <c:v>143.52917100003125</c:v>
                </c:pt>
                <c:pt idx="153">
                  <c:v>143.52917100003125</c:v>
                </c:pt>
                <c:pt idx="154">
                  <c:v>145.42059700002883</c:v>
                </c:pt>
                <c:pt idx="155">
                  <c:v>145.42059700002883</c:v>
                </c:pt>
                <c:pt idx="156">
                  <c:v>147.30576000002642</c:v>
                </c:pt>
                <c:pt idx="157">
                  <c:v>147.30576000002642</c:v>
                </c:pt>
                <c:pt idx="158">
                  <c:v>149.184660000024</c:v>
                </c:pt>
                <c:pt idx="159">
                  <c:v>149.184660000024</c:v>
                </c:pt>
                <c:pt idx="160">
                  <c:v>151.07608600002158</c:v>
                </c:pt>
                <c:pt idx="161">
                  <c:v>151.07608600002158</c:v>
                </c:pt>
                <c:pt idx="162">
                  <c:v>152.95498600001915</c:v>
                </c:pt>
                <c:pt idx="163">
                  <c:v>152.95498600001915</c:v>
                </c:pt>
                <c:pt idx="164">
                  <c:v>154.8464120000167</c:v>
                </c:pt>
                <c:pt idx="165">
                  <c:v>154.8464120000167</c:v>
                </c:pt>
                <c:pt idx="166">
                  <c:v>156.7253120000143</c:v>
                </c:pt>
                <c:pt idx="167">
                  <c:v>156.7253120000143</c:v>
                </c:pt>
                <c:pt idx="168">
                  <c:v>158.60421200001187</c:v>
                </c:pt>
                <c:pt idx="169">
                  <c:v>158.60421200001187</c:v>
                </c:pt>
                <c:pt idx="170">
                  <c:v>160.48311200000947</c:v>
                </c:pt>
                <c:pt idx="171">
                  <c:v>160.48311200000947</c:v>
                </c:pt>
                <c:pt idx="172">
                  <c:v>162.37453800000702</c:v>
                </c:pt>
                <c:pt idx="173">
                  <c:v>162.37453800000702</c:v>
                </c:pt>
                <c:pt idx="174">
                  <c:v>164.2659640000046</c:v>
                </c:pt>
                <c:pt idx="175">
                  <c:v>164.2659640000046</c:v>
                </c:pt>
                <c:pt idx="176">
                  <c:v>166.14486400000217</c:v>
                </c:pt>
                <c:pt idx="177">
                  <c:v>166.14486400000217</c:v>
                </c:pt>
                <c:pt idx="178">
                  <c:v>168.03628999999975</c:v>
                </c:pt>
                <c:pt idx="179">
                  <c:v>168.03628999999975</c:v>
                </c:pt>
                <c:pt idx="180">
                  <c:v>169.9277159999973</c:v>
                </c:pt>
                <c:pt idx="181">
                  <c:v>169.9277159999973</c:v>
                </c:pt>
                <c:pt idx="182">
                  <c:v>171.8066159999949</c:v>
                </c:pt>
                <c:pt idx="183">
                  <c:v>171.8066159999949</c:v>
                </c:pt>
                <c:pt idx="184">
                  <c:v>173.69804199999245</c:v>
                </c:pt>
                <c:pt idx="185">
                  <c:v>173.69804199999245</c:v>
                </c:pt>
                <c:pt idx="186">
                  <c:v>175.58946799999003</c:v>
                </c:pt>
                <c:pt idx="187">
                  <c:v>175.58946799999003</c:v>
                </c:pt>
                <c:pt idx="188">
                  <c:v>177.48089399998759</c:v>
                </c:pt>
                <c:pt idx="189">
                  <c:v>177.48089399998759</c:v>
                </c:pt>
                <c:pt idx="190">
                  <c:v>179.36605699998518</c:v>
                </c:pt>
                <c:pt idx="191">
                  <c:v>179.36605699998518</c:v>
                </c:pt>
                <c:pt idx="192">
                  <c:v>181.25748299998276</c:v>
                </c:pt>
                <c:pt idx="193">
                  <c:v>181.25748299998276</c:v>
                </c:pt>
                <c:pt idx="194">
                  <c:v>183.14890899998031</c:v>
                </c:pt>
                <c:pt idx="195">
                  <c:v>183.14890899998031</c:v>
                </c:pt>
                <c:pt idx="196">
                  <c:v>185.0340719999779</c:v>
                </c:pt>
                <c:pt idx="197">
                  <c:v>185.0340719999779</c:v>
                </c:pt>
                <c:pt idx="198">
                  <c:v>186.92549799997545</c:v>
                </c:pt>
                <c:pt idx="199">
                  <c:v>186.92549799997545</c:v>
                </c:pt>
                <c:pt idx="200">
                  <c:v>188.81066099997304</c:v>
                </c:pt>
                <c:pt idx="201">
                  <c:v>188.81066099997304</c:v>
                </c:pt>
                <c:pt idx="202">
                  <c:v>190.6958239999706</c:v>
                </c:pt>
                <c:pt idx="203">
                  <c:v>190.6958239999706</c:v>
                </c:pt>
                <c:pt idx="204">
                  <c:v>192.5747239999682</c:v>
                </c:pt>
                <c:pt idx="205">
                  <c:v>192.5747239999682</c:v>
                </c:pt>
                <c:pt idx="206">
                  <c:v>194.45988699996576</c:v>
                </c:pt>
                <c:pt idx="207">
                  <c:v>194.45988699996576</c:v>
                </c:pt>
                <c:pt idx="208">
                  <c:v>196.33878699996336</c:v>
                </c:pt>
                <c:pt idx="209">
                  <c:v>196.33878699996336</c:v>
                </c:pt>
                <c:pt idx="210">
                  <c:v>198.23021299996091</c:v>
                </c:pt>
                <c:pt idx="211">
                  <c:v>198.23021299996091</c:v>
                </c:pt>
                <c:pt idx="212">
                  <c:v>200.1153759999585</c:v>
                </c:pt>
                <c:pt idx="213">
                  <c:v>200.1153759999585</c:v>
                </c:pt>
                <c:pt idx="214">
                  <c:v>202.00680199995605</c:v>
                </c:pt>
                <c:pt idx="215">
                  <c:v>202.00680199995605</c:v>
                </c:pt>
                <c:pt idx="216">
                  <c:v>203.89822799995363</c:v>
                </c:pt>
                <c:pt idx="217">
                  <c:v>203.89822799995363</c:v>
                </c:pt>
                <c:pt idx="218">
                  <c:v>205.78339099995119</c:v>
                </c:pt>
                <c:pt idx="219">
                  <c:v>205.78339099995119</c:v>
                </c:pt>
                <c:pt idx="220">
                  <c:v>207.66855399994878</c:v>
                </c:pt>
                <c:pt idx="221">
                  <c:v>207.66855399994878</c:v>
                </c:pt>
                <c:pt idx="222">
                  <c:v>209.55371699994635</c:v>
                </c:pt>
                <c:pt idx="223">
                  <c:v>209.55371699994635</c:v>
                </c:pt>
                <c:pt idx="224">
                  <c:v>211.43887999994394</c:v>
                </c:pt>
                <c:pt idx="225">
                  <c:v>211.43887999994394</c:v>
                </c:pt>
                <c:pt idx="226">
                  <c:v>213.3240429999415</c:v>
                </c:pt>
                <c:pt idx="227">
                  <c:v>213.3240429999415</c:v>
                </c:pt>
                <c:pt idx="228">
                  <c:v>215.2029429999391</c:v>
                </c:pt>
                <c:pt idx="229">
                  <c:v>215.2029429999391</c:v>
                </c:pt>
                <c:pt idx="230">
                  <c:v>217.09436899993665</c:v>
                </c:pt>
                <c:pt idx="231">
                  <c:v>217.09436899993665</c:v>
                </c:pt>
                <c:pt idx="232">
                  <c:v>218.98579499993423</c:v>
                </c:pt>
                <c:pt idx="233">
                  <c:v>218.98579499993423</c:v>
                </c:pt>
                <c:pt idx="234">
                  <c:v>220.87095799993179</c:v>
                </c:pt>
                <c:pt idx="235">
                  <c:v>220.87095799993179</c:v>
                </c:pt>
                <c:pt idx="236">
                  <c:v>222.75612099992938</c:v>
                </c:pt>
                <c:pt idx="237">
                  <c:v>222.75612099992938</c:v>
                </c:pt>
                <c:pt idx="238">
                  <c:v>224.64128399992694</c:v>
                </c:pt>
                <c:pt idx="239">
                  <c:v>224.64128399992694</c:v>
                </c:pt>
                <c:pt idx="240">
                  <c:v>226.53270999992452</c:v>
                </c:pt>
                <c:pt idx="241">
                  <c:v>226.53270999992452</c:v>
                </c:pt>
                <c:pt idx="242">
                  <c:v>228.42413599992207</c:v>
                </c:pt>
                <c:pt idx="243">
                  <c:v>228.42413599992207</c:v>
                </c:pt>
                <c:pt idx="244">
                  <c:v>230.30929899992211</c:v>
                </c:pt>
                <c:pt idx="245">
                  <c:v>230.30929899992211</c:v>
                </c:pt>
                <c:pt idx="246">
                  <c:v>232.19446199992382</c:v>
                </c:pt>
                <c:pt idx="247">
                  <c:v>232.19446199992382</c:v>
                </c:pt>
                <c:pt idx="248">
                  <c:v>234.07336199992565</c:v>
                </c:pt>
                <c:pt idx="249">
                  <c:v>234.07336199992565</c:v>
                </c:pt>
                <c:pt idx="250">
                  <c:v>235.96478799992752</c:v>
                </c:pt>
                <c:pt idx="251">
                  <c:v>235.96478799992752</c:v>
                </c:pt>
                <c:pt idx="252">
                  <c:v>237.84368799992936</c:v>
                </c:pt>
                <c:pt idx="253">
                  <c:v>237.84368799992936</c:v>
                </c:pt>
                <c:pt idx="254">
                  <c:v>239.72885099993115</c:v>
                </c:pt>
                <c:pt idx="255">
                  <c:v>239.72885099993115</c:v>
                </c:pt>
                <c:pt idx="256">
                  <c:v>241.60775099993299</c:v>
                </c:pt>
                <c:pt idx="257">
                  <c:v>241.60775099993299</c:v>
                </c:pt>
                <c:pt idx="258">
                  <c:v>243.48665099993485</c:v>
                </c:pt>
                <c:pt idx="259">
                  <c:v>243.48665099993485</c:v>
                </c:pt>
                <c:pt idx="260">
                  <c:v>245.37807699993664</c:v>
                </c:pt>
                <c:pt idx="261">
                  <c:v>245.37807699993664</c:v>
                </c:pt>
                <c:pt idx="262">
                  <c:v>247.26950299993851</c:v>
                </c:pt>
                <c:pt idx="263">
                  <c:v>247.26950299993851</c:v>
                </c:pt>
                <c:pt idx="264">
                  <c:v>249.15466599994036</c:v>
                </c:pt>
                <c:pt idx="265">
                  <c:v>249.15466599994036</c:v>
                </c:pt>
                <c:pt idx="266">
                  <c:v>251.03982899994216</c:v>
                </c:pt>
                <c:pt idx="267">
                  <c:v>251.03982899994216</c:v>
                </c:pt>
                <c:pt idx="268">
                  <c:v>252.931254999944</c:v>
                </c:pt>
                <c:pt idx="269">
                  <c:v>252.931254999944</c:v>
                </c:pt>
                <c:pt idx="270">
                  <c:v>254.82268099994587</c:v>
                </c:pt>
                <c:pt idx="271">
                  <c:v>254.82268099994587</c:v>
                </c:pt>
                <c:pt idx="272">
                  <c:v>256.71410699994607</c:v>
                </c:pt>
                <c:pt idx="273">
                  <c:v>256.71410699994607</c:v>
                </c:pt>
                <c:pt idx="274">
                  <c:v>258.59926999994366</c:v>
                </c:pt>
                <c:pt idx="275">
                  <c:v>258.59926999994366</c:v>
                </c:pt>
                <c:pt idx="276">
                  <c:v>260.49069599994124</c:v>
                </c:pt>
                <c:pt idx="277">
                  <c:v>260.49069599994124</c:v>
                </c:pt>
                <c:pt idx="278">
                  <c:v>262.38212199993882</c:v>
                </c:pt>
                <c:pt idx="279">
                  <c:v>262.38212199993882</c:v>
                </c:pt>
                <c:pt idx="280">
                  <c:v>264.27354799993634</c:v>
                </c:pt>
                <c:pt idx="281">
                  <c:v>264.27354799993634</c:v>
                </c:pt>
                <c:pt idx="282">
                  <c:v>266.15871099993393</c:v>
                </c:pt>
                <c:pt idx="283">
                  <c:v>266.15871099993393</c:v>
                </c:pt>
                <c:pt idx="284">
                  <c:v>268.04387399993152</c:v>
                </c:pt>
                <c:pt idx="285">
                  <c:v>268.04387399993152</c:v>
                </c:pt>
                <c:pt idx="286">
                  <c:v>269.92903699992911</c:v>
                </c:pt>
                <c:pt idx="287">
                  <c:v>269.92903699992911</c:v>
                </c:pt>
                <c:pt idx="288">
                  <c:v>271.81419999992664</c:v>
                </c:pt>
                <c:pt idx="289">
                  <c:v>271.81419999992664</c:v>
                </c:pt>
                <c:pt idx="290">
                  <c:v>273.70562599992422</c:v>
                </c:pt>
                <c:pt idx="291">
                  <c:v>273.70562599992422</c:v>
                </c:pt>
                <c:pt idx="292">
                  <c:v>275.59078899992181</c:v>
                </c:pt>
                <c:pt idx="293">
                  <c:v>275.59078899992181</c:v>
                </c:pt>
                <c:pt idx="294">
                  <c:v>277.4759519999194</c:v>
                </c:pt>
                <c:pt idx="295">
                  <c:v>277.4759519999194</c:v>
                </c:pt>
                <c:pt idx="296">
                  <c:v>279.36111499991694</c:v>
                </c:pt>
                <c:pt idx="297">
                  <c:v>279.36111499991694</c:v>
                </c:pt>
                <c:pt idx="298">
                  <c:v>281.24627799991453</c:v>
                </c:pt>
                <c:pt idx="299">
                  <c:v>281.24627799991453</c:v>
                </c:pt>
                <c:pt idx="300">
                  <c:v>283.13770399991211</c:v>
                </c:pt>
                <c:pt idx="301">
                  <c:v>283.13770399991211</c:v>
                </c:pt>
                <c:pt idx="302">
                  <c:v>285.01660399990971</c:v>
                </c:pt>
                <c:pt idx="303">
                  <c:v>285.01660399990971</c:v>
                </c:pt>
                <c:pt idx="304">
                  <c:v>286.90802999990723</c:v>
                </c:pt>
                <c:pt idx="305">
                  <c:v>286.90802999990723</c:v>
                </c:pt>
                <c:pt idx="306">
                  <c:v>288.79319299990482</c:v>
                </c:pt>
                <c:pt idx="307">
                  <c:v>288.79319299990482</c:v>
                </c:pt>
                <c:pt idx="308">
                  <c:v>290.67835599990241</c:v>
                </c:pt>
                <c:pt idx="309">
                  <c:v>290.67835599990241</c:v>
                </c:pt>
                <c:pt idx="310">
                  <c:v>292.55725599990001</c:v>
                </c:pt>
                <c:pt idx="311">
                  <c:v>292.55725599990001</c:v>
                </c:pt>
                <c:pt idx="312">
                  <c:v>294.44868199989753</c:v>
                </c:pt>
                <c:pt idx="313">
                  <c:v>294.44868199989753</c:v>
                </c:pt>
                <c:pt idx="314">
                  <c:v>296.33384499989512</c:v>
                </c:pt>
                <c:pt idx="315">
                  <c:v>296.33384499989512</c:v>
                </c:pt>
                <c:pt idx="316">
                  <c:v>298.21900799989271</c:v>
                </c:pt>
                <c:pt idx="317">
                  <c:v>298.21900799989271</c:v>
                </c:pt>
                <c:pt idx="318">
                  <c:v>300.1041709998903</c:v>
                </c:pt>
                <c:pt idx="319">
                  <c:v>300.1041709998903</c:v>
                </c:pt>
                <c:pt idx="320">
                  <c:v>301.99559699988788</c:v>
                </c:pt>
                <c:pt idx="321">
                  <c:v>301.99559699988788</c:v>
                </c:pt>
                <c:pt idx="322">
                  <c:v>303.8870229998854</c:v>
                </c:pt>
                <c:pt idx="323">
                  <c:v>303.8870229998854</c:v>
                </c:pt>
                <c:pt idx="324">
                  <c:v>305.77844899988298</c:v>
                </c:pt>
                <c:pt idx="325">
                  <c:v>305.77844899988298</c:v>
                </c:pt>
                <c:pt idx="326">
                  <c:v>307.66987499988056</c:v>
                </c:pt>
                <c:pt idx="327">
                  <c:v>307.66987499988056</c:v>
                </c:pt>
                <c:pt idx="328">
                  <c:v>309.55503799987815</c:v>
                </c:pt>
                <c:pt idx="329">
                  <c:v>309.55503799987815</c:v>
                </c:pt>
                <c:pt idx="330">
                  <c:v>311.44020099987569</c:v>
                </c:pt>
                <c:pt idx="331">
                  <c:v>311.44020099987569</c:v>
                </c:pt>
                <c:pt idx="332">
                  <c:v>313.32536399987328</c:v>
                </c:pt>
                <c:pt idx="333">
                  <c:v>313.32536399987328</c:v>
                </c:pt>
                <c:pt idx="334">
                  <c:v>315.21052699987086</c:v>
                </c:pt>
                <c:pt idx="335">
                  <c:v>315.21052699987086</c:v>
                </c:pt>
                <c:pt idx="336">
                  <c:v>317.10195299986844</c:v>
                </c:pt>
                <c:pt idx="337">
                  <c:v>317.10195299986844</c:v>
                </c:pt>
                <c:pt idx="338">
                  <c:v>318.98711599986598</c:v>
                </c:pt>
                <c:pt idx="339">
                  <c:v>318.98711599986598</c:v>
                </c:pt>
                <c:pt idx="340">
                  <c:v>320.87227899986357</c:v>
                </c:pt>
                <c:pt idx="341">
                  <c:v>320.87227899986357</c:v>
                </c:pt>
                <c:pt idx="342">
                  <c:v>322.75744199986116</c:v>
                </c:pt>
                <c:pt idx="343">
                  <c:v>322.75744199986116</c:v>
                </c:pt>
                <c:pt idx="344">
                  <c:v>324.64260499985875</c:v>
                </c:pt>
                <c:pt idx="345">
                  <c:v>324.64260499985875</c:v>
                </c:pt>
                <c:pt idx="346">
                  <c:v>326.52776799985628</c:v>
                </c:pt>
                <c:pt idx="347">
                  <c:v>326.52776799985628</c:v>
                </c:pt>
                <c:pt idx="348">
                  <c:v>328.41919399985386</c:v>
                </c:pt>
                <c:pt idx="349">
                  <c:v>328.41919399985386</c:v>
                </c:pt>
                <c:pt idx="350">
                  <c:v>330.31061999985144</c:v>
                </c:pt>
                <c:pt idx="351">
                  <c:v>330.31061999985144</c:v>
                </c:pt>
                <c:pt idx="352">
                  <c:v>332.20204599984902</c:v>
                </c:pt>
                <c:pt idx="353">
                  <c:v>332.20204599984902</c:v>
                </c:pt>
                <c:pt idx="354">
                  <c:v>334.09347199984654</c:v>
                </c:pt>
                <c:pt idx="355">
                  <c:v>334.09347199984654</c:v>
                </c:pt>
                <c:pt idx="356">
                  <c:v>335.97863499984413</c:v>
                </c:pt>
                <c:pt idx="357">
                  <c:v>335.97863499984413</c:v>
                </c:pt>
                <c:pt idx="358">
                  <c:v>337.86379799984172</c:v>
                </c:pt>
                <c:pt idx="359">
                  <c:v>337.86379799984172</c:v>
                </c:pt>
                <c:pt idx="360">
                  <c:v>339.74896099983931</c:v>
                </c:pt>
                <c:pt idx="361">
                  <c:v>339.74896099983931</c:v>
                </c:pt>
                <c:pt idx="362">
                  <c:v>341.63412399983685</c:v>
                </c:pt>
                <c:pt idx="363">
                  <c:v>341.63412399983685</c:v>
                </c:pt>
                <c:pt idx="364">
                  <c:v>343.52554999983442</c:v>
                </c:pt>
                <c:pt idx="365">
                  <c:v>343.52554999983442</c:v>
                </c:pt>
                <c:pt idx="366">
                  <c:v>345.416975999832</c:v>
                </c:pt>
                <c:pt idx="367">
                  <c:v>345.416975999832</c:v>
                </c:pt>
                <c:pt idx="368">
                  <c:v>347.30840199982958</c:v>
                </c:pt>
                <c:pt idx="369">
                  <c:v>347.30840199982958</c:v>
                </c:pt>
                <c:pt idx="370">
                  <c:v>349.19356499982717</c:v>
                </c:pt>
                <c:pt idx="371">
                  <c:v>349.19356499982717</c:v>
                </c:pt>
                <c:pt idx="372">
                  <c:v>351.07872799982471</c:v>
                </c:pt>
                <c:pt idx="373">
                  <c:v>351.07872799982471</c:v>
                </c:pt>
                <c:pt idx="374">
                  <c:v>352.9638909998223</c:v>
                </c:pt>
                <c:pt idx="375">
                  <c:v>352.9638909998223</c:v>
                </c:pt>
                <c:pt idx="376">
                  <c:v>354.84905399981989</c:v>
                </c:pt>
                <c:pt idx="377">
                  <c:v>354.84905399981989</c:v>
                </c:pt>
                <c:pt idx="378">
                  <c:v>356.73421699981748</c:v>
                </c:pt>
                <c:pt idx="379">
                  <c:v>356.73421699981748</c:v>
                </c:pt>
                <c:pt idx="380">
                  <c:v>358.61937999981501</c:v>
                </c:pt>
                <c:pt idx="381">
                  <c:v>358.61937999981501</c:v>
                </c:pt>
              </c:numCache>
            </c:numRef>
          </c:xVal>
          <c:yVal>
            <c:numRef>
              <c:f>DTDRpat_result0!$I$2:$I$427</c:f>
              <c:numCache>
                <c:formatCode>General</c:formatCode>
                <c:ptCount val="426"/>
                <c:pt idx="0">
                  <c:v>0.84224296081406436</c:v>
                </c:pt>
                <c:pt idx="1">
                  <c:v>0.84224421307871911</c:v>
                </c:pt>
                <c:pt idx="2">
                  <c:v>0.84225612927238447</c:v>
                </c:pt>
                <c:pt idx="3">
                  <c:v>0.8429698180275258</c:v>
                </c:pt>
                <c:pt idx="4">
                  <c:v>0.843020496114677</c:v>
                </c:pt>
                <c:pt idx="5">
                  <c:v>0.8444569301047723</c:v>
                </c:pt>
                <c:pt idx="6">
                  <c:v>0.8445168396950774</c:v>
                </c:pt>
                <c:pt idx="7">
                  <c:v>0.8466677457301055</c:v>
                </c:pt>
                <c:pt idx="8">
                  <c:v>0.84677762431399195</c:v>
                </c:pt>
                <c:pt idx="9">
                  <c:v>0.8496522162967971</c:v>
                </c:pt>
                <c:pt idx="10">
                  <c:v>0.8497713770997436</c:v>
                </c:pt>
                <c:pt idx="11">
                  <c:v>0.85336732022589079</c:v>
                </c:pt>
                <c:pt idx="12">
                  <c:v>0.85349942561556136</c:v>
                </c:pt>
                <c:pt idx="13">
                  <c:v>0.85781736128912001</c:v>
                </c:pt>
                <c:pt idx="14">
                  <c:v>0.85797362674490429</c:v>
                </c:pt>
                <c:pt idx="15">
                  <c:v>0.86301686688944113</c:v>
                </c:pt>
                <c:pt idx="16">
                  <c:v>0.86325345013965216</c:v>
                </c:pt>
                <c:pt idx="17">
                  <c:v>0.86903287219228498</c:v>
                </c:pt>
                <c:pt idx="18">
                  <c:v>0.86925935027228796</c:v>
                </c:pt>
                <c:pt idx="19">
                  <c:v>0.87577387498000425</c:v>
                </c:pt>
                <c:pt idx="20">
                  <c:v>0.87619392975102051</c:v>
                </c:pt>
                <c:pt idx="21">
                  <c:v>0.88346446310720972</c:v>
                </c:pt>
                <c:pt idx="22">
                  <c:v>0.88385149543329522</c:v>
                </c:pt>
                <c:pt idx="23">
                  <c:v>0.8918740963617956</c:v>
                </c:pt>
                <c:pt idx="24">
                  <c:v>0.89227024714715431</c:v>
                </c:pt>
                <c:pt idx="25">
                  <c:v>0.90104534689480142</c:v>
                </c:pt>
                <c:pt idx="26">
                  <c:v>0.90144552195950722</c:v>
                </c:pt>
                <c:pt idx="27">
                  <c:v>0.91097262744076613</c:v>
                </c:pt>
                <c:pt idx="28">
                  <c:v>0.91140570729569748</c:v>
                </c:pt>
                <c:pt idx="29">
                  <c:v>0.92168569034211723</c:v>
                </c:pt>
                <c:pt idx="30">
                  <c:v>0.9220414117228799</c:v>
                </c:pt>
                <c:pt idx="31">
                  <c:v>0.93306608351441045</c:v>
                </c:pt>
                <c:pt idx="32">
                  <c:v>0.93352528235184762</c:v>
                </c:pt>
                <c:pt idx="33">
                  <c:v>0.94529693457348496</c:v>
                </c:pt>
                <c:pt idx="34">
                  <c:v>0.94578610401294438</c:v>
                </c:pt>
                <c:pt idx="35">
                  <c:v>0.95829964321334693</c:v>
                </c:pt>
                <c:pt idx="36">
                  <c:v>0.95881859558582738</c:v>
                </c:pt>
                <c:pt idx="37">
                  <c:v>0.97206590674999449</c:v>
                </c:pt>
                <c:pt idx="38">
                  <c:v>0.97252036718758905</c:v>
                </c:pt>
                <c:pt idx="39">
                  <c:v>0.98648517648010392</c:v>
                </c:pt>
                <c:pt idx="40">
                  <c:v>0.98696335837911631</c:v>
                </c:pt>
                <c:pt idx="41">
                  <c:v>1.0016300860139835</c:v>
                </c:pt>
                <c:pt idx="42">
                  <c:v>1.0022349323818198</c:v>
                </c:pt>
                <c:pt idx="43">
                  <c:v>1.0175878170131476</c:v>
                </c:pt>
                <c:pt idx="44">
                  <c:v>1.0182197768562546</c:v>
                </c:pt>
                <c:pt idx="45">
                  <c:v>1.0342327599858503</c:v>
                </c:pt>
                <c:pt idx="46">
                  <c:v>1.0348907304235335</c:v>
                </c:pt>
                <c:pt idx="47">
                  <c:v>1.0515314683585781</c:v>
                </c:pt>
                <c:pt idx="48">
                  <c:v>1.0520971698499035</c:v>
                </c:pt>
                <c:pt idx="49">
                  <c:v>1.0693224447931688</c:v>
                </c:pt>
                <c:pt idx="50">
                  <c:v>1.0700275675765536</c:v>
                </c:pt>
                <c:pt idx="51">
                  <c:v>1.0877941268009255</c:v>
                </c:pt>
                <c:pt idx="52">
                  <c:v>1.0883958192405991</c:v>
                </c:pt>
                <c:pt idx="53">
                  <c:v>1.1066447965944641</c:v>
                </c:pt>
                <c:pt idx="54">
                  <c:v>1.1074525360911427</c:v>
                </c:pt>
                <c:pt idx="55">
                  <c:v>1.1261234513032323</c:v>
                </c:pt>
                <c:pt idx="56">
                  <c:v>1.126753134519735</c:v>
                </c:pt>
                <c:pt idx="57">
                  <c:v>1.1457672614382679</c:v>
                </c:pt>
                <c:pt idx="58">
                  <c:v>1.1465391023460934</c:v>
                </c:pt>
                <c:pt idx="59">
                  <c:v>1.1658133430431139</c:v>
                </c:pt>
                <c:pt idx="60">
                  <c:v>1.1665270094571463</c:v>
                </c:pt>
                <c:pt idx="61">
                  <c:v>1.1859644354439511</c:v>
                </c:pt>
                <c:pt idx="62">
                  <c:v>1.1866150955776651</c:v>
                </c:pt>
                <c:pt idx="63">
                  <c:v>1.2061087601572846</c:v>
                </c:pt>
                <c:pt idx="64">
                  <c:v>1.2069607317229547</c:v>
                </c:pt>
                <c:pt idx="65">
                  <c:v>1.2263923815768563</c:v>
                </c:pt>
                <c:pt idx="66">
                  <c:v>1.2270388766539113</c:v>
                </c:pt>
                <c:pt idx="67">
                  <c:v>1.2462809928477414</c:v>
                </c:pt>
                <c:pt idx="68">
                  <c:v>1.2470504670392919</c:v>
                </c:pt>
                <c:pt idx="69">
                  <c:v>1.2659630784313836</c:v>
                </c:pt>
                <c:pt idx="70">
                  <c:v>1.2666519772373654</c:v>
                </c:pt>
                <c:pt idx="71">
                  <c:v>1.2850891098495971</c:v>
                </c:pt>
                <c:pt idx="72">
                  <c:v>1.2858201296430585</c:v>
                </c:pt>
                <c:pt idx="73">
                  <c:v>1.3036253265182478</c:v>
                </c:pt>
                <c:pt idx="74">
                  <c:v>1.3043277169953298</c:v>
                </c:pt>
                <c:pt idx="75">
                  <c:v>1.3213406973870367</c:v>
                </c:pt>
                <c:pt idx="76">
                  <c:v>1.3218939115228767</c:v>
                </c:pt>
                <c:pt idx="77">
                  <c:v>1.3379584697725515</c:v>
                </c:pt>
                <c:pt idx="78">
                  <c:v>1.3384772776469351</c:v>
                </c:pt>
                <c:pt idx="79">
                  <c:v>1.353432540572078</c:v>
                </c:pt>
                <c:pt idx="80">
                  <c:v>1.3540596307961013</c:v>
                </c:pt>
                <c:pt idx="81">
                  <c:v>1.3677343796553827</c:v>
                </c:pt>
                <c:pt idx="82">
                  <c:v>1.3681681287332916</c:v>
                </c:pt>
                <c:pt idx="83">
                  <c:v>1.3804231298841068</c:v>
                </c:pt>
                <c:pt idx="84">
                  <c:v>1.380886058336888</c:v>
                </c:pt>
                <c:pt idx="85">
                  <c:v>1.3915692949000149</c:v>
                </c:pt>
                <c:pt idx="86">
                  <c:v>1.3919662020495889</c:v>
                </c:pt>
                <c:pt idx="87">
                  <c:v>1.4009485422586978</c:v>
                </c:pt>
                <c:pt idx="88">
                  <c:v>1.4012745541748064</c:v>
                </c:pt>
                <c:pt idx="89">
                  <c:v>1.4084440493958901</c:v>
                </c:pt>
                <c:pt idx="90">
                  <c:v>1.4086523322485032</c:v>
                </c:pt>
                <c:pt idx="91">
                  <c:v>1.4139303568709802</c:v>
                </c:pt>
                <c:pt idx="92">
                  <c:v>1.4140742223844747</c:v>
                </c:pt>
                <c:pt idx="93">
                  <c:v>1.4173930414547051</c:v>
                </c:pt>
                <c:pt idx="94">
                  <c:v>1.4174863511522617</c:v>
                </c:pt>
                <c:pt idx="95">
                  <c:v>1.4187893976688557</c:v>
                </c:pt>
                <c:pt idx="96">
                  <c:v>1.418800955358366</c:v>
                </c:pt>
                <c:pt idx="97">
                  <c:v>1.4180710163254373</c:v>
                </c:pt>
                <c:pt idx="98">
                  <c:v>1.418000677880136</c:v>
                </c:pt>
                <c:pt idx="99">
                  <c:v>1.4152473934294918</c:v>
                </c:pt>
                <c:pt idx="100">
                  <c:v>1.415122240956431</c:v>
                </c:pt>
                <c:pt idx="101">
                  <c:v>1.4103949002949536</c:v>
                </c:pt>
                <c:pt idx="102">
                  <c:v>1.4102046910295729</c:v>
                </c:pt>
                <c:pt idx="103">
                  <c:v>1.4035642387532896</c:v>
                </c:pt>
                <c:pt idx="104">
                  <c:v>1.4032327774157329</c:v>
                </c:pt>
                <c:pt idx="105">
                  <c:v>1.3947455526224526</c:v>
                </c:pt>
                <c:pt idx="106">
                  <c:v>1.3943679647783072</c:v>
                </c:pt>
                <c:pt idx="107">
                  <c:v>1.3841467507026648</c:v>
                </c:pt>
                <c:pt idx="108">
                  <c:v>1.3837779926120979</c:v>
                </c:pt>
                <c:pt idx="109">
                  <c:v>1.3719576888717961</c:v>
                </c:pt>
                <c:pt idx="110">
                  <c:v>1.3715377579994557</c:v>
                </c:pt>
                <c:pt idx="111">
                  <c:v>1.3582559411160449</c:v>
                </c:pt>
                <c:pt idx="112">
                  <c:v>1.357789622565531</c:v>
                </c:pt>
                <c:pt idx="113">
                  <c:v>1.3431949856413368</c:v>
                </c:pt>
                <c:pt idx="114">
                  <c:v>1.3425300981837973</c:v>
                </c:pt>
                <c:pt idx="115">
                  <c:v>1.3267679726699428</c:v>
                </c:pt>
                <c:pt idx="116">
                  <c:v>1.3261117688924235</c:v>
                </c:pt>
                <c:pt idx="117">
                  <c:v>1.309348729637885</c:v>
                </c:pt>
                <c:pt idx="118">
                  <c:v>1.3086554986782448</c:v>
                </c:pt>
                <c:pt idx="119">
                  <c:v>1.2910549492702996</c:v>
                </c:pt>
                <c:pt idx="120">
                  <c:v>1.2903312403203342</c:v>
                </c:pt>
                <c:pt idx="121">
                  <c:v>1.2720544774715705</c:v>
                </c:pt>
                <c:pt idx="122">
                  <c:v>1.271434696702334</c:v>
                </c:pt>
                <c:pt idx="123">
                  <c:v>1.2526414309982836</c:v>
                </c:pt>
                <c:pt idx="124">
                  <c:v>1.2520069148365132</c:v>
                </c:pt>
                <c:pt idx="125">
                  <c:v>1.2328452375132029</c:v>
                </c:pt>
                <c:pt idx="126">
                  <c:v>1.232200779714502</c:v>
                </c:pt>
                <c:pt idx="127">
                  <c:v>1.2128106091736568</c:v>
                </c:pt>
                <c:pt idx="128">
                  <c:v>1.2120937293429166</c:v>
                </c:pt>
                <c:pt idx="129">
                  <c:v>1.1926054046164758</c:v>
                </c:pt>
                <c:pt idx="130">
                  <c:v>1.1917528963607713</c:v>
                </c:pt>
                <c:pt idx="131">
                  <c:v>1.1722879610732837</c:v>
                </c:pt>
                <c:pt idx="132">
                  <c:v>1.1715058291890061</c:v>
                </c:pt>
                <c:pt idx="133">
                  <c:v>1.1521751770536082</c:v>
                </c:pt>
                <c:pt idx="134">
                  <c:v>1.1514005478355518</c:v>
                </c:pt>
                <c:pt idx="135">
                  <c:v>1.1323038442571056</c:v>
                </c:pt>
                <c:pt idx="136">
                  <c:v>1.1315405036380448</c:v>
                </c:pt>
                <c:pt idx="137">
                  <c:v>1.1127665193448555</c:v>
                </c:pt>
                <c:pt idx="138">
                  <c:v>1.1120178021750384</c:v>
                </c:pt>
                <c:pt idx="139">
                  <c:v>1.0936445431941799</c:v>
                </c:pt>
                <c:pt idx="140">
                  <c:v>1.092913435145741</c:v>
                </c:pt>
                <c:pt idx="141">
                  <c:v>1.0750087976430873</c:v>
                </c:pt>
                <c:pt idx="142">
                  <c:v>1.0743585423154161</c:v>
                </c:pt>
                <c:pt idx="143">
                  <c:v>1.0569790793473335</c:v>
                </c:pt>
                <c:pt idx="144">
                  <c:v>1.0564079839347864</c:v>
                </c:pt>
                <c:pt idx="145">
                  <c:v>1.0396008887049415</c:v>
                </c:pt>
                <c:pt idx="146">
                  <c:v>1.0389360272826931</c:v>
                </c:pt>
                <c:pt idx="147">
                  <c:v>1.0227465262425777</c:v>
                </c:pt>
                <c:pt idx="148">
                  <c:v>1.0221072743845376</c:v>
                </c:pt>
                <c:pt idx="149">
                  <c:v>1.0065696117467924</c:v>
                </c:pt>
                <c:pt idx="150">
                  <c:v>1.0059572070947707</c:v>
                </c:pt>
                <c:pt idx="151">
                  <c:v>0.99109910602881368</c:v>
                </c:pt>
                <c:pt idx="152">
                  <c:v>0.99056448378987483</c:v>
                </c:pt>
                <c:pt idx="153">
                  <c:v>0.9764055662908091</c:v>
                </c:pt>
                <c:pt idx="154">
                  <c:v>0.97584956055263761</c:v>
                </c:pt>
                <c:pt idx="155">
                  <c:v>0.96240910863292028</c:v>
                </c:pt>
                <c:pt idx="156">
                  <c:v>0.96192733069563963</c:v>
                </c:pt>
                <c:pt idx="157">
                  <c:v>0.94921552433666667</c:v>
                </c:pt>
                <c:pt idx="158">
                  <c:v>0.94880324843897001</c:v>
                </c:pt>
                <c:pt idx="159">
                  <c:v>0.93682655948658411</c:v>
                </c:pt>
                <c:pt idx="160">
                  <c:v>0.93635910294003566</c:v>
                </c:pt>
                <c:pt idx="161">
                  <c:v>0.92512819746050101</c:v>
                </c:pt>
                <c:pt idx="162">
                  <c:v>0.92476558380169016</c:v>
                </c:pt>
                <c:pt idx="163">
                  <c:v>0.91427887224159488</c:v>
                </c:pt>
                <c:pt idx="164">
                  <c:v>0.91387152435685848</c:v>
                </c:pt>
                <c:pt idx="165">
                  <c:v>0.90413514842735787</c:v>
                </c:pt>
                <c:pt idx="166">
                  <c:v>0.90382246102697161</c:v>
                </c:pt>
                <c:pt idx="167">
                  <c:v>0.89483105784023875</c:v>
                </c:pt>
                <c:pt idx="168">
                  <c:v>0.89454322959467414</c:v>
                </c:pt>
                <c:pt idx="169">
                  <c:v>0.8862950883916153</c:v>
                </c:pt>
                <c:pt idx="170">
                  <c:v>0.88603204166327432</c:v>
                </c:pt>
                <c:pt idx="171">
                  <c:v>0.8785246331740475</c:v>
                </c:pt>
                <c:pt idx="172">
                  <c:v>0.87823713678856841</c:v>
                </c:pt>
                <c:pt idx="173">
                  <c:v>0.87147212818954733</c:v>
                </c:pt>
                <c:pt idx="174">
                  <c:v>0.87121453307028451</c:v>
                </c:pt>
                <c:pt idx="175">
                  <c:v>0.86518831579881728</c:v>
                </c:pt>
                <c:pt idx="176">
                  <c:v>0.8649992646741792</c:v>
                </c:pt>
                <c:pt idx="177">
                  <c:v>0.85970322460368387</c:v>
                </c:pt>
                <c:pt idx="178">
                  <c:v>0.85950462267782979</c:v>
                </c:pt>
                <c:pt idx="179">
                  <c:v>0.85494000487173094</c:v>
                </c:pt>
                <c:pt idx="180">
                  <c:v>0.85477080683562567</c:v>
                </c:pt>
                <c:pt idx="181">
                  <c:v>0.85093401656487744</c:v>
                </c:pt>
                <c:pt idx="182">
                  <c:v>0.85081792850291704</c:v>
                </c:pt>
                <c:pt idx="183">
                  <c:v>0.84770107678124818</c:v>
                </c:pt>
                <c:pt idx="184">
                  <c:v>0.84759004734852039</c:v>
                </c:pt>
                <c:pt idx="185">
                  <c:v>0.84519525555182251</c:v>
                </c:pt>
                <c:pt idx="186">
                  <c:v>0.84511329795367263</c:v>
                </c:pt>
                <c:pt idx="187">
                  <c:v>0.84343838200655952</c:v>
                </c:pt>
                <c:pt idx="188">
                  <c:v>0.84338534636926954</c:v>
                </c:pt>
                <c:pt idx="189">
                  <c:v>0.84242875017197383</c:v>
                </c:pt>
                <c:pt idx="190">
                  <c:v>0.84240670169097431</c:v>
                </c:pt>
                <c:pt idx="191">
                  <c:v>0.84216515857334062</c:v>
                </c:pt>
                <c:pt idx="192">
                  <c:v>0.84216985169430314</c:v>
                </c:pt>
                <c:pt idx="193">
                  <c:v>0.84264548778411363</c:v>
                </c:pt>
                <c:pt idx="194">
                  <c:v>0.84267908450207163</c:v>
                </c:pt>
                <c:pt idx="195">
                  <c:v>0.84387237491536238</c:v>
                </c:pt>
                <c:pt idx="196">
                  <c:v>0.8439295239069361</c:v>
                </c:pt>
                <c:pt idx="197">
                  <c:v>0.84583919804867225</c:v>
                </c:pt>
                <c:pt idx="198">
                  <c:v>0.84593060047422042</c:v>
                </c:pt>
                <c:pt idx="199">
                  <c:v>0.84856077774115912</c:v>
                </c:pt>
                <c:pt idx="200">
                  <c:v>0.84867094758964901</c:v>
                </c:pt>
                <c:pt idx="201">
                  <c:v>0.85202162015557692</c:v>
                </c:pt>
                <c:pt idx="202">
                  <c:v>0.85215833776168848</c:v>
                </c:pt>
                <c:pt idx="203">
                  <c:v>0.85623231447877635</c:v>
                </c:pt>
                <c:pt idx="204">
                  <c:v>0.8563804036208077</c:v>
                </c:pt>
                <c:pt idx="205">
                  <c:v>0.86117850983198385</c:v>
                </c:pt>
                <c:pt idx="206">
                  <c:v>0.86136873464291075</c:v>
                </c:pt>
                <c:pt idx="207">
                  <c:v>0.86689692391994055</c:v>
                </c:pt>
                <c:pt idx="208">
                  <c:v>0.86709374306360465</c:v>
                </c:pt>
                <c:pt idx="209">
                  <c:v>0.87335330776196518</c:v>
                </c:pt>
                <c:pt idx="210">
                  <c:v>0.87362038810211384</c:v>
                </c:pt>
                <c:pt idx="211">
                  <c:v>0.88061992331291394</c:v>
                </c:pt>
                <c:pt idx="212">
                  <c:v>0.88089139205547196</c:v>
                </c:pt>
                <c:pt idx="213">
                  <c:v>0.88863198183331538</c:v>
                </c:pt>
                <c:pt idx="214">
                  <c:v>0.88895881729501802</c:v>
                </c:pt>
                <c:pt idx="215">
                  <c:v>0.897445959902057</c:v>
                </c:pt>
                <c:pt idx="216">
                  <c:v>0.89780291360364761</c:v>
                </c:pt>
                <c:pt idx="217">
                  <c:v>0.90703898215082435</c:v>
                </c:pt>
                <c:pt idx="218">
                  <c:v>0.90739296964782057</c:v>
                </c:pt>
                <c:pt idx="219">
                  <c:v>0.91737669813114908</c:v>
                </c:pt>
                <c:pt idx="220">
                  <c:v>0.91775826007539851</c:v>
                </c:pt>
                <c:pt idx="221">
                  <c:v>0.92848969225888578</c:v>
                </c:pt>
                <c:pt idx="222">
                  <c:v>0.92889878096063094</c:v>
                </c:pt>
                <c:pt idx="223">
                  <c:v>0.94037600365811236</c:v>
                </c:pt>
                <c:pt idx="224">
                  <c:v>0.94081251778191521</c:v>
                </c:pt>
                <c:pt idx="225">
                  <c:v>0.95303149918859609</c:v>
                </c:pt>
                <c:pt idx="226">
                  <c:v>0.95349522990439339</c:v>
                </c:pt>
                <c:pt idx="227">
                  <c:v>0.96644918987982953</c:v>
                </c:pt>
                <c:pt idx="228">
                  <c:v>0.96689391235021671</c:v>
                </c:pt>
                <c:pt idx="229">
                  <c:v>0.98057042306826869</c:v>
                </c:pt>
                <c:pt idx="230">
                  <c:v>0.9811358613474308</c:v>
                </c:pt>
                <c:pt idx="231">
                  <c:v>0.99552580357614717</c:v>
                </c:pt>
                <c:pt idx="232">
                  <c:v>0.99611962221768346</c:v>
                </c:pt>
                <c:pt idx="233">
                  <c:v>1.0112044590379266</c:v>
                </c:pt>
                <c:pt idx="234">
                  <c:v>1.0117726603770538</c:v>
                </c:pt>
                <c:pt idx="235">
                  <c:v>1.0275263911037189</c:v>
                </c:pt>
                <c:pt idx="236">
                  <c:v>1.0281187346903395</c:v>
                </c:pt>
                <c:pt idx="237">
                  <c:v>1.0445118363345447</c:v>
                </c:pt>
                <c:pt idx="238">
                  <c:v>1.0451270911770867</c:v>
                </c:pt>
                <c:pt idx="239">
                  <c:v>1.0621232345726843</c:v>
                </c:pt>
                <c:pt idx="240">
                  <c:v>1.0628195538546343</c:v>
                </c:pt>
                <c:pt idx="241">
                  <c:v>1.0803768035598422</c:v>
                </c:pt>
                <c:pt idx="242">
                  <c:v>1.0810947007481817</c:v>
                </c:pt>
                <c:pt idx="243">
                  <c:v>1.0991607505518806</c:v>
                </c:pt>
                <c:pt idx="244">
                  <c:v>1.0998349132308642</c:v>
                </c:pt>
                <c:pt idx="245">
                  <c:v>1.118346880477906</c:v>
                </c:pt>
                <c:pt idx="246">
                  <c:v>1.1190362124163942</c:v>
                </c:pt>
                <c:pt idx="247">
                  <c:v>1.1379235237917413</c:v>
                </c:pt>
                <c:pt idx="248">
                  <c:v>1.138559620701858</c:v>
                </c:pt>
                <c:pt idx="249">
                  <c:v>1.1577404525445887</c:v>
                </c:pt>
                <c:pt idx="250">
                  <c:v>1.1585178766832798</c:v>
                </c:pt>
                <c:pt idx="251">
                  <c:v>1.1779023436298235</c:v>
                </c:pt>
                <c:pt idx="252">
                  <c:v>1.1785519533047857</c:v>
                </c:pt>
                <c:pt idx="253">
                  <c:v>1.1980365133750026</c:v>
                </c:pt>
                <c:pt idx="254">
                  <c:v>1.1987548072995076</c:v>
                </c:pt>
                <c:pt idx="255">
                  <c:v>1.2182265514469108</c:v>
                </c:pt>
                <c:pt idx="256">
                  <c:v>1.218875228080311</c:v>
                </c:pt>
                <c:pt idx="257">
                  <c:v>1.238210598168626</c:v>
                </c:pt>
                <c:pt idx="258">
                  <c:v>1.2388525569491078</c:v>
                </c:pt>
                <c:pt idx="259">
                  <c:v>1.2579181575481826</c:v>
                </c:pt>
                <c:pt idx="260">
                  <c:v>1.2586788063813277</c:v>
                </c:pt>
                <c:pt idx="261">
                  <c:v>1.2773288508607523</c:v>
                </c:pt>
                <c:pt idx="262">
                  <c:v>1.2780697211660144</c:v>
                </c:pt>
                <c:pt idx="263">
                  <c:v>1.2961518859602539</c:v>
                </c:pt>
                <c:pt idx="264">
                  <c:v>1.2968056480502048</c:v>
                </c:pt>
                <c:pt idx="265">
                  <c:v>1.3141641497376291</c:v>
                </c:pt>
                <c:pt idx="266">
                  <c:v>1.3147883099139139</c:v>
                </c:pt>
                <c:pt idx="267">
                  <c:v>1.3312619611907124</c:v>
                </c:pt>
                <c:pt idx="268">
                  <c:v>1.3319054998765945</c:v>
                </c:pt>
                <c:pt idx="269">
                  <c:v>1.3473282148057801</c:v>
                </c:pt>
                <c:pt idx="270">
                  <c:v>1.3479261545645425</c:v>
                </c:pt>
                <c:pt idx="271">
                  <c:v>1.362136386414601</c:v>
                </c:pt>
                <c:pt idx="272">
                  <c:v>1.3626822857906467</c:v>
                </c:pt>
                <c:pt idx="273">
                  <c:v>1.3755237937220193</c:v>
                </c:pt>
                <c:pt idx="274">
                  <c:v>1.3759698691677342</c:v>
                </c:pt>
                <c:pt idx="275">
                  <c:v>1.3873003810450626</c:v>
                </c:pt>
                <c:pt idx="276">
                  <c:v>1.3877244304399243</c:v>
                </c:pt>
                <c:pt idx="277">
                  <c:v>1.3974039808452892</c:v>
                </c:pt>
                <c:pt idx="278">
                  <c:v>1.3977589931833392</c:v>
                </c:pt>
                <c:pt idx="279">
                  <c:v>1.4056683817849027</c:v>
                </c:pt>
                <c:pt idx="280">
                  <c:v>1.4059499002295817</c:v>
                </c:pt>
                <c:pt idx="281">
                  <c:v>1.4119890140524107</c:v>
                </c:pt>
                <c:pt idx="282">
                  <c:v>1.4121761448808847</c:v>
                </c:pt>
                <c:pt idx="283">
                  <c:v>1.41627356676237</c:v>
                </c:pt>
                <c:pt idx="284">
                  <c:v>1.416387996498544</c:v>
                </c:pt>
                <c:pt idx="285">
                  <c:v>1.4184903987398481</c:v>
                </c:pt>
                <c:pt idx="286">
                  <c:v>1.4185306670166669</c:v>
                </c:pt>
                <c:pt idx="287">
                  <c:v>1.4186103705715549</c:v>
                </c:pt>
                <c:pt idx="288">
                  <c:v>1.4185759586571496</c:v>
                </c:pt>
                <c:pt idx="289">
                  <c:v>1.4166319146632469</c:v>
                </c:pt>
                <c:pt idx="290">
                  <c:v>1.4165129430863148</c:v>
                </c:pt>
                <c:pt idx="291">
                  <c:v>1.4125641809001224</c:v>
                </c:pt>
                <c:pt idx="292">
                  <c:v>1.4123824781719438</c:v>
                </c:pt>
                <c:pt idx="293">
                  <c:v>1.4064871141501092</c:v>
                </c:pt>
                <c:pt idx="294">
                  <c:v>1.4062349545473944</c:v>
                </c:pt>
                <c:pt idx="295">
                  <c:v>1.3984687951244927</c:v>
                </c:pt>
                <c:pt idx="296">
                  <c:v>1.3981493549957547</c:v>
                </c:pt>
                <c:pt idx="297">
                  <c:v>1.3886101185039559</c:v>
                </c:pt>
                <c:pt idx="298">
                  <c:v>1.3882274389819438</c:v>
                </c:pt>
                <c:pt idx="299">
                  <c:v>1.3770321497845766</c:v>
                </c:pt>
                <c:pt idx="300">
                  <c:v>1.3765494721020504</c:v>
                </c:pt>
                <c:pt idx="301">
                  <c:v>1.3638263677025209</c:v>
                </c:pt>
                <c:pt idx="302">
                  <c:v>1.3633777441557651</c:v>
                </c:pt>
                <c:pt idx="303">
                  <c:v>1.3492821356081697</c:v>
                </c:pt>
                <c:pt idx="304">
                  <c:v>1.3486885507625266</c:v>
                </c:pt>
                <c:pt idx="305">
                  <c:v>1.3333664043283937</c:v>
                </c:pt>
                <c:pt idx="306">
                  <c:v>1.3327814083611371</c:v>
                </c:pt>
                <c:pt idx="307">
                  <c:v>1.3163972476111294</c:v>
                </c:pt>
                <c:pt idx="308">
                  <c:v>1.3157760951142077</c:v>
                </c:pt>
                <c:pt idx="309">
                  <c:v>1.298492146408263</c:v>
                </c:pt>
                <c:pt idx="310">
                  <c:v>1.2979018163099842</c:v>
                </c:pt>
                <c:pt idx="311">
                  <c:v>1.2798817020557858</c:v>
                </c:pt>
                <c:pt idx="312">
                  <c:v>1.2791430008847677</c:v>
                </c:pt>
                <c:pt idx="313">
                  <c:v>1.2605402139733404</c:v>
                </c:pt>
                <c:pt idx="314">
                  <c:v>1.2598460873462203</c:v>
                </c:pt>
                <c:pt idx="315">
                  <c:v>1.2408148080648103</c:v>
                </c:pt>
                <c:pt idx="316">
                  <c:v>1.2401075904328689</c:v>
                </c:pt>
                <c:pt idx="317">
                  <c:v>1.2207920892880222</c:v>
                </c:pt>
                <c:pt idx="318">
                  <c:v>1.2200769690556843</c:v>
                </c:pt>
                <c:pt idx="319">
                  <c:v>1.2006124688721727</c:v>
                </c:pt>
                <c:pt idx="320">
                  <c:v>1.1998271021683136</c:v>
                </c:pt>
                <c:pt idx="321">
                  <c:v>1.1803389161674176</c:v>
                </c:pt>
                <c:pt idx="322">
                  <c:v>1.1795549787865454</c:v>
                </c:pt>
                <c:pt idx="323">
                  <c:v>1.1601583058727898</c:v>
                </c:pt>
                <c:pt idx="324">
                  <c:v>1.1593802101656832</c:v>
                </c:pt>
                <c:pt idx="325">
                  <c:v>1.1401791341048033</c:v>
                </c:pt>
                <c:pt idx="326">
                  <c:v>1.1394108676995152</c:v>
                </c:pt>
                <c:pt idx="327">
                  <c:v>1.1204985014565036</c:v>
                </c:pt>
                <c:pt idx="328">
                  <c:v>1.1198080967085606</c:v>
                </c:pt>
                <c:pt idx="329">
                  <c:v>1.1012652854900997</c:v>
                </c:pt>
                <c:pt idx="330">
                  <c:v>1.1005898906884262</c:v>
                </c:pt>
                <c:pt idx="331">
                  <c:v>1.082488073554756</c:v>
                </c:pt>
                <c:pt idx="332">
                  <c:v>1.0818301117646625</c:v>
                </c:pt>
                <c:pt idx="333">
                  <c:v>1.0642309807305803</c:v>
                </c:pt>
                <c:pt idx="334">
                  <c:v>1.0635925808619859</c:v>
                </c:pt>
                <c:pt idx="335">
                  <c:v>1.0465488214615406</c:v>
                </c:pt>
                <c:pt idx="336">
                  <c:v>1.0458741099661042</c:v>
                </c:pt>
                <c:pt idx="337">
                  <c:v>1.0294321810144238</c:v>
                </c:pt>
                <c:pt idx="338">
                  <c:v>1.0288380037843416</c:v>
                </c:pt>
                <c:pt idx="339">
                  <c:v>1.0130328543896177</c:v>
                </c:pt>
                <c:pt idx="340">
                  <c:v>1.0124627175800145</c:v>
                </c:pt>
                <c:pt idx="341">
                  <c:v>0.99732437752893899</c:v>
                </c:pt>
                <c:pt idx="342">
                  <c:v>0.99677929415776678</c:v>
                </c:pt>
                <c:pt idx="343">
                  <c:v>0.98233181203738951</c:v>
                </c:pt>
                <c:pt idx="344">
                  <c:v>0.98181255525669453</c:v>
                </c:pt>
                <c:pt idx="345">
                  <c:v>0.96807483004584727</c:v>
                </c:pt>
                <c:pt idx="346">
                  <c:v>0.96758200093590419</c:v>
                </c:pt>
                <c:pt idx="347">
                  <c:v>0.9545682236114863</c:v>
                </c:pt>
                <c:pt idx="348">
                  <c:v>0.95405873581478406</c:v>
                </c:pt>
                <c:pt idx="349">
                  <c:v>0.94178170429533781</c:v>
                </c:pt>
                <c:pt idx="350">
                  <c:v>0.94130204796344863</c:v>
                </c:pt>
                <c:pt idx="351">
                  <c:v>0.92976884015874772</c:v>
                </c:pt>
                <c:pt idx="352">
                  <c:v>0.92931926593154246</c:v>
                </c:pt>
                <c:pt idx="353">
                  <c:v>0.91853411952806907</c:v>
                </c:pt>
                <c:pt idx="354">
                  <c:v>0.91811471712263548</c:v>
                </c:pt>
                <c:pt idx="355">
                  <c:v>0.90807964881825964</c:v>
                </c:pt>
                <c:pt idx="356">
                  <c:v>0.90772375201865907</c:v>
                </c:pt>
                <c:pt idx="357">
                  <c:v>0.89843644754482743</c:v>
                </c:pt>
                <c:pt idx="358">
                  <c:v>0.89810804225128149</c:v>
                </c:pt>
                <c:pt idx="359">
                  <c:v>0.88956728674058516</c:v>
                </c:pt>
                <c:pt idx="360">
                  <c:v>0.88926636881713228</c:v>
                </c:pt>
                <c:pt idx="361">
                  <c:v>0.88146988740527021</c:v>
                </c:pt>
                <c:pt idx="362">
                  <c:v>0.88119631645457985</c:v>
                </c:pt>
                <c:pt idx="363">
                  <c:v>0.87414110802035416</c:v>
                </c:pt>
                <c:pt idx="364">
                  <c:v>0.87387183647084843</c:v>
                </c:pt>
                <c:pt idx="365">
                  <c:v>0.86755685372038749</c:v>
                </c:pt>
                <c:pt idx="366">
                  <c:v>0.86731730972817489</c:v>
                </c:pt>
                <c:pt idx="367">
                  <c:v>0.86173884172115811</c:v>
                </c:pt>
                <c:pt idx="368">
                  <c:v>0.86152893071828551</c:v>
                </c:pt>
                <c:pt idx="369">
                  <c:v>0.85668325705932824</c:v>
                </c:pt>
                <c:pt idx="370">
                  <c:v>0.85651812350603418</c:v>
                </c:pt>
                <c:pt idx="371">
                  <c:v>0.85239922424922954</c:v>
                </c:pt>
                <c:pt idx="372">
                  <c:v>0.8522607996961663</c:v>
                </c:pt>
                <c:pt idx="373">
                  <c:v>0.84886544010589349</c:v>
                </c:pt>
                <c:pt idx="374">
                  <c:v>0.84875364734539716</c:v>
                </c:pt>
                <c:pt idx="375">
                  <c:v>0.84607882623325192</c:v>
                </c:pt>
                <c:pt idx="376">
                  <c:v>0.84599356842723417</c:v>
                </c:pt>
                <c:pt idx="377">
                  <c:v>0.84403702298723127</c:v>
                </c:pt>
                <c:pt idx="378">
                  <c:v>0.84397815801851539</c:v>
                </c:pt>
                <c:pt idx="379">
                  <c:v>0.84273810608063393</c:v>
                </c:pt>
                <c:pt idx="380">
                  <c:v>0.84270561837496638</c:v>
                </c:pt>
                <c:pt idx="381">
                  <c:v>0.84218089888142167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B1-490E-8D40-2E07E9FE5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6965727"/>
        <c:axId val="1206966687"/>
      </c:scatterChart>
      <c:valAx>
        <c:axId val="1206965727"/>
        <c:scaling>
          <c:orientation val="minMax"/>
          <c:max val="3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06966687"/>
        <c:crosses val="autoZero"/>
        <c:crossBetween val="midCat"/>
        <c:majorUnit val="90"/>
      </c:valAx>
      <c:valAx>
        <c:axId val="1206966687"/>
        <c:scaling>
          <c:orientation val="minMax"/>
          <c:max val="1.9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0696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DTDRpat_result0!$O$1</c:f>
              <c:strCache>
                <c:ptCount val="1"/>
                <c:pt idx="0">
                  <c:v>F=39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rgbClr val="FFFF00"/>
              </a:solidFill>
              <a:ln w="9525">
                <a:noFill/>
              </a:ln>
              <a:effectLst/>
            </c:spPr>
          </c:marker>
          <c:xVal>
            <c:numRef>
              <c:f>DTDRpat_result0!$N$2:$N$427</c:f>
              <c:numCache>
                <c:formatCode>General</c:formatCode>
                <c:ptCount val="426"/>
                <c:pt idx="0">
                  <c:v>6.2630000000000012E-3</c:v>
                </c:pt>
                <c:pt idx="1">
                  <c:v>6.2630000000000012E-3</c:v>
                </c:pt>
                <c:pt idx="2">
                  <c:v>1.8851630000000021</c:v>
                </c:pt>
                <c:pt idx="3">
                  <c:v>1.8851630000000021</c:v>
                </c:pt>
                <c:pt idx="4">
                  <c:v>3.7891150000000429</c:v>
                </c:pt>
                <c:pt idx="5">
                  <c:v>3.7891150000000429</c:v>
                </c:pt>
                <c:pt idx="6">
                  <c:v>5.6680149999999898</c:v>
                </c:pt>
                <c:pt idx="7">
                  <c:v>5.6680149999999898</c:v>
                </c:pt>
                <c:pt idx="8">
                  <c:v>7.5657039999999816</c:v>
                </c:pt>
                <c:pt idx="9">
                  <c:v>7.5657039999999816</c:v>
                </c:pt>
                <c:pt idx="10">
                  <c:v>9.4508670000001374</c:v>
                </c:pt>
                <c:pt idx="11">
                  <c:v>9.4508670000001374</c:v>
                </c:pt>
                <c:pt idx="12">
                  <c:v>11.329767000000343</c:v>
                </c:pt>
                <c:pt idx="13">
                  <c:v>11.329767000000343</c:v>
                </c:pt>
                <c:pt idx="14">
                  <c:v>13.208667000000569</c:v>
                </c:pt>
                <c:pt idx="15">
                  <c:v>13.208667000000569</c:v>
                </c:pt>
                <c:pt idx="16">
                  <c:v>15.106356000000735</c:v>
                </c:pt>
                <c:pt idx="17">
                  <c:v>15.106356000000735</c:v>
                </c:pt>
                <c:pt idx="18">
                  <c:v>16.991519000000864</c:v>
                </c:pt>
                <c:pt idx="19">
                  <c:v>16.991519000000864</c:v>
                </c:pt>
                <c:pt idx="20">
                  <c:v>18.920523000001062</c:v>
                </c:pt>
                <c:pt idx="21">
                  <c:v>18.920523000001062</c:v>
                </c:pt>
                <c:pt idx="22">
                  <c:v>20.830738000001276</c:v>
                </c:pt>
                <c:pt idx="23">
                  <c:v>20.830738000001276</c:v>
                </c:pt>
                <c:pt idx="24">
                  <c:v>22.734690000001489</c:v>
                </c:pt>
                <c:pt idx="25">
                  <c:v>22.734690000001489</c:v>
                </c:pt>
                <c:pt idx="26">
                  <c:v>24.632379000001709</c:v>
                </c:pt>
                <c:pt idx="27">
                  <c:v>24.632379000001709</c:v>
                </c:pt>
                <c:pt idx="28">
                  <c:v>26.530068000001961</c:v>
                </c:pt>
                <c:pt idx="29">
                  <c:v>26.530068000001961</c:v>
                </c:pt>
                <c:pt idx="30">
                  <c:v>28.408968000002208</c:v>
                </c:pt>
                <c:pt idx="31">
                  <c:v>28.408968000002208</c:v>
                </c:pt>
                <c:pt idx="32">
                  <c:v>30.300394000002274</c:v>
                </c:pt>
                <c:pt idx="33">
                  <c:v>30.300394000002274</c:v>
                </c:pt>
                <c:pt idx="34">
                  <c:v>32.191820000002224</c:v>
                </c:pt>
                <c:pt idx="35">
                  <c:v>32.191820000002224</c:v>
                </c:pt>
                <c:pt idx="36">
                  <c:v>34.083246000001388</c:v>
                </c:pt>
                <c:pt idx="37">
                  <c:v>34.083246000001388</c:v>
                </c:pt>
                <c:pt idx="38">
                  <c:v>35.962146000000565</c:v>
                </c:pt>
                <c:pt idx="39">
                  <c:v>35.962146000000565</c:v>
                </c:pt>
                <c:pt idx="40">
                  <c:v>37.841045999999736</c:v>
                </c:pt>
                <c:pt idx="41">
                  <c:v>37.841045999999736</c:v>
                </c:pt>
                <c:pt idx="42">
                  <c:v>39.732471999998907</c:v>
                </c:pt>
                <c:pt idx="43">
                  <c:v>39.732471999998907</c:v>
                </c:pt>
                <c:pt idx="44">
                  <c:v>41.623897999998071</c:v>
                </c:pt>
                <c:pt idx="45">
                  <c:v>41.623897999998071</c:v>
                </c:pt>
                <c:pt idx="46">
                  <c:v>43.515323999997243</c:v>
                </c:pt>
                <c:pt idx="47">
                  <c:v>43.515323999997243</c:v>
                </c:pt>
                <c:pt idx="48">
                  <c:v>45.394223999996413</c:v>
                </c:pt>
                <c:pt idx="49">
                  <c:v>45.394223999996413</c:v>
                </c:pt>
                <c:pt idx="50">
                  <c:v>47.285649999995584</c:v>
                </c:pt>
                <c:pt idx="51">
                  <c:v>47.285649999995584</c:v>
                </c:pt>
                <c:pt idx="52">
                  <c:v>49.164549999994755</c:v>
                </c:pt>
                <c:pt idx="53">
                  <c:v>49.164549999994755</c:v>
                </c:pt>
                <c:pt idx="54">
                  <c:v>51.062238999993923</c:v>
                </c:pt>
                <c:pt idx="55">
                  <c:v>51.062238999993923</c:v>
                </c:pt>
                <c:pt idx="56">
                  <c:v>52.9411389999931</c:v>
                </c:pt>
                <c:pt idx="57">
                  <c:v>52.9411389999931</c:v>
                </c:pt>
                <c:pt idx="58">
                  <c:v>54.832564999992265</c:v>
                </c:pt>
                <c:pt idx="59">
                  <c:v>54.832564999992265</c:v>
                </c:pt>
                <c:pt idx="60">
                  <c:v>56.717727999991439</c:v>
                </c:pt>
                <c:pt idx="61">
                  <c:v>56.717727999991439</c:v>
                </c:pt>
                <c:pt idx="62">
                  <c:v>58.59662799999041</c:v>
                </c:pt>
                <c:pt idx="63">
                  <c:v>58.59662799999041</c:v>
                </c:pt>
                <c:pt idx="64">
                  <c:v>60.494316999989287</c:v>
                </c:pt>
                <c:pt idx="65">
                  <c:v>60.494316999989287</c:v>
                </c:pt>
                <c:pt idx="66">
                  <c:v>62.37321699998818</c:v>
                </c:pt>
                <c:pt idx="67">
                  <c:v>62.37321699998818</c:v>
                </c:pt>
                <c:pt idx="68">
                  <c:v>64.264642999987458</c:v>
                </c:pt>
                <c:pt idx="69">
                  <c:v>64.264642999987458</c:v>
                </c:pt>
                <c:pt idx="70">
                  <c:v>66.149805999988899</c:v>
                </c:pt>
                <c:pt idx="71">
                  <c:v>66.149805999988899</c:v>
                </c:pt>
                <c:pt idx="72">
                  <c:v>68.04123199999033</c:v>
                </c:pt>
                <c:pt idx="73">
                  <c:v>68.04123199999033</c:v>
                </c:pt>
                <c:pt idx="74">
                  <c:v>69.932657999992031</c:v>
                </c:pt>
                <c:pt idx="75">
                  <c:v>69.932657999992031</c:v>
                </c:pt>
                <c:pt idx="76">
                  <c:v>71.811557999993852</c:v>
                </c:pt>
                <c:pt idx="77">
                  <c:v>71.811557999993852</c:v>
                </c:pt>
                <c:pt idx="78">
                  <c:v>73.690457999995672</c:v>
                </c:pt>
                <c:pt idx="79">
                  <c:v>73.690457999995672</c:v>
                </c:pt>
                <c:pt idx="80">
                  <c:v>75.588146999997534</c:v>
                </c:pt>
                <c:pt idx="81">
                  <c:v>75.588146999997534</c:v>
                </c:pt>
                <c:pt idx="82">
                  <c:v>77.467046999999354</c:v>
                </c:pt>
                <c:pt idx="83">
                  <c:v>77.467046999999354</c:v>
                </c:pt>
                <c:pt idx="84">
                  <c:v>79.358473000001183</c:v>
                </c:pt>
                <c:pt idx="85">
                  <c:v>79.358473000001183</c:v>
                </c:pt>
                <c:pt idx="86">
                  <c:v>81.24989900000304</c:v>
                </c:pt>
                <c:pt idx="87">
                  <c:v>81.24989900000304</c:v>
                </c:pt>
                <c:pt idx="88">
                  <c:v>83.141325000004883</c:v>
                </c:pt>
                <c:pt idx="89">
                  <c:v>83.141325000004883</c:v>
                </c:pt>
                <c:pt idx="90">
                  <c:v>85.020225000006718</c:v>
                </c:pt>
                <c:pt idx="91">
                  <c:v>85.020225000006718</c:v>
                </c:pt>
                <c:pt idx="92">
                  <c:v>86.899125000008539</c:v>
                </c:pt>
                <c:pt idx="93">
                  <c:v>86.899125000008539</c:v>
                </c:pt>
                <c:pt idx="94">
                  <c:v>88.790551000010367</c:v>
                </c:pt>
                <c:pt idx="95">
                  <c:v>88.790551000010367</c:v>
                </c:pt>
                <c:pt idx="96">
                  <c:v>90.681977000012225</c:v>
                </c:pt>
                <c:pt idx="97">
                  <c:v>90.681977000012225</c:v>
                </c:pt>
                <c:pt idx="98">
                  <c:v>92.573403000014096</c:v>
                </c:pt>
                <c:pt idx="99">
                  <c:v>92.573403000014096</c:v>
                </c:pt>
                <c:pt idx="100">
                  <c:v>94.452303000016087</c:v>
                </c:pt>
                <c:pt idx="101">
                  <c:v>94.452303000016087</c:v>
                </c:pt>
                <c:pt idx="102">
                  <c:v>96.331203000018064</c:v>
                </c:pt>
                <c:pt idx="103">
                  <c:v>96.331203000018064</c:v>
                </c:pt>
                <c:pt idx="104">
                  <c:v>98.228892000020082</c:v>
                </c:pt>
                <c:pt idx="105">
                  <c:v>98.228892000020082</c:v>
                </c:pt>
                <c:pt idx="106">
                  <c:v>100.12031800002208</c:v>
                </c:pt>
                <c:pt idx="107">
                  <c:v>100.12031800002208</c:v>
                </c:pt>
                <c:pt idx="108">
                  <c:v>101.99921800002406</c:v>
                </c:pt>
                <c:pt idx="109">
                  <c:v>101.99921800002406</c:v>
                </c:pt>
                <c:pt idx="110">
                  <c:v>103.87811800002605</c:v>
                </c:pt>
                <c:pt idx="111">
                  <c:v>103.87811800002605</c:v>
                </c:pt>
                <c:pt idx="112">
                  <c:v>105.75701800002803</c:v>
                </c:pt>
                <c:pt idx="113">
                  <c:v>105.75701800002803</c:v>
                </c:pt>
                <c:pt idx="114">
                  <c:v>107.65470700003004</c:v>
                </c:pt>
                <c:pt idx="115">
                  <c:v>107.65470700003004</c:v>
                </c:pt>
                <c:pt idx="116">
                  <c:v>109.54613300003204</c:v>
                </c:pt>
                <c:pt idx="117">
                  <c:v>109.54613300003204</c:v>
                </c:pt>
                <c:pt idx="118">
                  <c:v>111.43755900003404</c:v>
                </c:pt>
                <c:pt idx="119">
                  <c:v>111.43755900003404</c:v>
                </c:pt>
                <c:pt idx="120">
                  <c:v>113.32898500003604</c:v>
                </c:pt>
                <c:pt idx="121">
                  <c:v>113.32898500003604</c:v>
                </c:pt>
                <c:pt idx="122">
                  <c:v>115.20788500003803</c:v>
                </c:pt>
                <c:pt idx="123">
                  <c:v>115.20788500003803</c:v>
                </c:pt>
                <c:pt idx="124">
                  <c:v>117.08678500003998</c:v>
                </c:pt>
                <c:pt idx="125">
                  <c:v>117.08678500003998</c:v>
                </c:pt>
                <c:pt idx="126">
                  <c:v>118.96568500004193</c:v>
                </c:pt>
                <c:pt idx="127">
                  <c:v>118.96568500004193</c:v>
                </c:pt>
                <c:pt idx="128">
                  <c:v>120.85084800004387</c:v>
                </c:pt>
                <c:pt idx="129">
                  <c:v>120.85084800004387</c:v>
                </c:pt>
                <c:pt idx="130">
                  <c:v>122.74853700004584</c:v>
                </c:pt>
                <c:pt idx="131">
                  <c:v>122.74853700004584</c:v>
                </c:pt>
                <c:pt idx="132">
                  <c:v>124.6399630000478</c:v>
                </c:pt>
                <c:pt idx="133">
                  <c:v>124.6399630000478</c:v>
                </c:pt>
                <c:pt idx="134">
                  <c:v>126.53138900004976</c:v>
                </c:pt>
                <c:pt idx="135">
                  <c:v>126.53138900004976</c:v>
                </c:pt>
                <c:pt idx="136">
                  <c:v>128.42281500005069</c:v>
                </c:pt>
                <c:pt idx="137">
                  <c:v>128.42281500005069</c:v>
                </c:pt>
                <c:pt idx="138">
                  <c:v>130.31424100004827</c:v>
                </c:pt>
                <c:pt idx="139">
                  <c:v>130.31424100004827</c:v>
                </c:pt>
                <c:pt idx="140">
                  <c:v>132.20566700004582</c:v>
                </c:pt>
                <c:pt idx="141">
                  <c:v>132.20566700004582</c:v>
                </c:pt>
                <c:pt idx="142">
                  <c:v>134.09083000004341</c:v>
                </c:pt>
                <c:pt idx="143">
                  <c:v>134.09083000004341</c:v>
                </c:pt>
                <c:pt idx="144">
                  <c:v>135.96973000004098</c:v>
                </c:pt>
                <c:pt idx="145">
                  <c:v>135.96973000004098</c:v>
                </c:pt>
                <c:pt idx="146">
                  <c:v>137.86115600003856</c:v>
                </c:pt>
                <c:pt idx="147">
                  <c:v>137.86115600003856</c:v>
                </c:pt>
                <c:pt idx="148">
                  <c:v>139.75258200003611</c:v>
                </c:pt>
                <c:pt idx="149">
                  <c:v>139.75258200003611</c:v>
                </c:pt>
                <c:pt idx="150">
                  <c:v>141.64400800003369</c:v>
                </c:pt>
                <c:pt idx="151">
                  <c:v>141.64400800003369</c:v>
                </c:pt>
                <c:pt idx="152">
                  <c:v>143.52917100003125</c:v>
                </c:pt>
                <c:pt idx="153">
                  <c:v>143.52917100003125</c:v>
                </c:pt>
                <c:pt idx="154">
                  <c:v>145.42059700002883</c:v>
                </c:pt>
                <c:pt idx="155">
                  <c:v>145.42059700002883</c:v>
                </c:pt>
                <c:pt idx="156">
                  <c:v>147.30576000002642</c:v>
                </c:pt>
                <c:pt idx="157">
                  <c:v>147.30576000002642</c:v>
                </c:pt>
                <c:pt idx="158">
                  <c:v>149.184660000024</c:v>
                </c:pt>
                <c:pt idx="159">
                  <c:v>149.184660000024</c:v>
                </c:pt>
                <c:pt idx="160">
                  <c:v>151.07608600002158</c:v>
                </c:pt>
                <c:pt idx="161">
                  <c:v>151.07608600002158</c:v>
                </c:pt>
                <c:pt idx="162">
                  <c:v>152.95498600001915</c:v>
                </c:pt>
                <c:pt idx="163">
                  <c:v>152.95498600001915</c:v>
                </c:pt>
                <c:pt idx="164">
                  <c:v>154.8464120000167</c:v>
                </c:pt>
                <c:pt idx="165">
                  <c:v>154.8464120000167</c:v>
                </c:pt>
                <c:pt idx="166">
                  <c:v>156.7253120000143</c:v>
                </c:pt>
                <c:pt idx="167">
                  <c:v>156.7253120000143</c:v>
                </c:pt>
                <c:pt idx="168">
                  <c:v>158.60421200001187</c:v>
                </c:pt>
                <c:pt idx="169">
                  <c:v>158.60421200001187</c:v>
                </c:pt>
                <c:pt idx="170">
                  <c:v>160.48311200000947</c:v>
                </c:pt>
                <c:pt idx="171">
                  <c:v>160.48311200000947</c:v>
                </c:pt>
                <c:pt idx="172">
                  <c:v>162.37453800000702</c:v>
                </c:pt>
                <c:pt idx="173">
                  <c:v>162.37453800000702</c:v>
                </c:pt>
                <c:pt idx="174">
                  <c:v>164.2659640000046</c:v>
                </c:pt>
                <c:pt idx="175">
                  <c:v>164.2659640000046</c:v>
                </c:pt>
                <c:pt idx="176">
                  <c:v>166.14486400000217</c:v>
                </c:pt>
                <c:pt idx="177">
                  <c:v>166.14486400000217</c:v>
                </c:pt>
                <c:pt idx="178">
                  <c:v>168.03628999999975</c:v>
                </c:pt>
                <c:pt idx="179">
                  <c:v>168.03628999999975</c:v>
                </c:pt>
                <c:pt idx="180">
                  <c:v>169.9277159999973</c:v>
                </c:pt>
                <c:pt idx="181">
                  <c:v>169.9277159999973</c:v>
                </c:pt>
                <c:pt idx="182">
                  <c:v>171.8066159999949</c:v>
                </c:pt>
                <c:pt idx="183">
                  <c:v>171.8066159999949</c:v>
                </c:pt>
                <c:pt idx="184">
                  <c:v>173.69804199999245</c:v>
                </c:pt>
                <c:pt idx="185">
                  <c:v>173.69804199999245</c:v>
                </c:pt>
                <c:pt idx="186">
                  <c:v>175.58946799999003</c:v>
                </c:pt>
                <c:pt idx="187">
                  <c:v>175.58946799999003</c:v>
                </c:pt>
                <c:pt idx="188">
                  <c:v>177.48089399998759</c:v>
                </c:pt>
                <c:pt idx="189">
                  <c:v>177.48089399998759</c:v>
                </c:pt>
                <c:pt idx="190">
                  <c:v>179.36605699998518</c:v>
                </c:pt>
                <c:pt idx="191">
                  <c:v>179.36605699998518</c:v>
                </c:pt>
                <c:pt idx="192">
                  <c:v>181.25748299998276</c:v>
                </c:pt>
                <c:pt idx="193">
                  <c:v>181.25748299998276</c:v>
                </c:pt>
                <c:pt idx="194">
                  <c:v>183.14890899998031</c:v>
                </c:pt>
                <c:pt idx="195">
                  <c:v>183.14890899998031</c:v>
                </c:pt>
                <c:pt idx="196">
                  <c:v>185.0340719999779</c:v>
                </c:pt>
                <c:pt idx="197">
                  <c:v>185.0340719999779</c:v>
                </c:pt>
                <c:pt idx="198">
                  <c:v>186.92549799997545</c:v>
                </c:pt>
                <c:pt idx="199">
                  <c:v>186.92549799997545</c:v>
                </c:pt>
                <c:pt idx="200">
                  <c:v>188.81066099997304</c:v>
                </c:pt>
                <c:pt idx="201">
                  <c:v>188.81066099997304</c:v>
                </c:pt>
                <c:pt idx="202">
                  <c:v>190.6958239999706</c:v>
                </c:pt>
                <c:pt idx="203">
                  <c:v>190.6958239999706</c:v>
                </c:pt>
                <c:pt idx="204">
                  <c:v>192.5747239999682</c:v>
                </c:pt>
                <c:pt idx="205">
                  <c:v>192.5747239999682</c:v>
                </c:pt>
                <c:pt idx="206">
                  <c:v>194.45988699996576</c:v>
                </c:pt>
                <c:pt idx="207">
                  <c:v>194.45988699996576</c:v>
                </c:pt>
                <c:pt idx="208">
                  <c:v>196.33878699996336</c:v>
                </c:pt>
                <c:pt idx="209">
                  <c:v>196.33878699996336</c:v>
                </c:pt>
                <c:pt idx="210">
                  <c:v>198.23021299996091</c:v>
                </c:pt>
                <c:pt idx="211">
                  <c:v>198.23021299996091</c:v>
                </c:pt>
                <c:pt idx="212">
                  <c:v>200.1153759999585</c:v>
                </c:pt>
                <c:pt idx="213">
                  <c:v>200.1153759999585</c:v>
                </c:pt>
                <c:pt idx="214">
                  <c:v>202.00680199995605</c:v>
                </c:pt>
                <c:pt idx="215">
                  <c:v>202.00680199995605</c:v>
                </c:pt>
                <c:pt idx="216">
                  <c:v>203.89822799995363</c:v>
                </c:pt>
                <c:pt idx="217">
                  <c:v>203.89822799995363</c:v>
                </c:pt>
                <c:pt idx="218">
                  <c:v>205.78339099995119</c:v>
                </c:pt>
                <c:pt idx="219">
                  <c:v>205.78339099995119</c:v>
                </c:pt>
                <c:pt idx="220">
                  <c:v>207.66855399994878</c:v>
                </c:pt>
                <c:pt idx="221">
                  <c:v>207.66855399994878</c:v>
                </c:pt>
                <c:pt idx="222">
                  <c:v>209.55371699994635</c:v>
                </c:pt>
                <c:pt idx="223">
                  <c:v>209.55371699994635</c:v>
                </c:pt>
                <c:pt idx="224">
                  <c:v>211.43887999994394</c:v>
                </c:pt>
                <c:pt idx="225">
                  <c:v>211.43887999994394</c:v>
                </c:pt>
                <c:pt idx="226">
                  <c:v>213.3240429999415</c:v>
                </c:pt>
                <c:pt idx="227">
                  <c:v>213.3240429999415</c:v>
                </c:pt>
                <c:pt idx="228">
                  <c:v>215.2029429999391</c:v>
                </c:pt>
                <c:pt idx="229">
                  <c:v>215.2029429999391</c:v>
                </c:pt>
                <c:pt idx="230">
                  <c:v>217.09436899993665</c:v>
                </c:pt>
                <c:pt idx="231">
                  <c:v>217.09436899993665</c:v>
                </c:pt>
                <c:pt idx="232">
                  <c:v>218.98579499993423</c:v>
                </c:pt>
                <c:pt idx="233">
                  <c:v>218.98579499993423</c:v>
                </c:pt>
                <c:pt idx="234">
                  <c:v>220.87095799993179</c:v>
                </c:pt>
                <c:pt idx="235">
                  <c:v>220.87095799993179</c:v>
                </c:pt>
                <c:pt idx="236">
                  <c:v>222.75612099992938</c:v>
                </c:pt>
                <c:pt idx="237">
                  <c:v>222.75612099992938</c:v>
                </c:pt>
                <c:pt idx="238">
                  <c:v>224.64128399992694</c:v>
                </c:pt>
                <c:pt idx="239">
                  <c:v>224.64128399992694</c:v>
                </c:pt>
                <c:pt idx="240">
                  <c:v>226.53270999992452</c:v>
                </c:pt>
                <c:pt idx="241">
                  <c:v>226.53270999992452</c:v>
                </c:pt>
                <c:pt idx="242">
                  <c:v>228.42413599992207</c:v>
                </c:pt>
                <c:pt idx="243">
                  <c:v>228.42413599992207</c:v>
                </c:pt>
                <c:pt idx="244">
                  <c:v>230.30929899992211</c:v>
                </c:pt>
                <c:pt idx="245">
                  <c:v>230.30929899992211</c:v>
                </c:pt>
                <c:pt idx="246">
                  <c:v>232.19446199992382</c:v>
                </c:pt>
                <c:pt idx="247">
                  <c:v>232.19446199992382</c:v>
                </c:pt>
                <c:pt idx="248">
                  <c:v>234.07336199992565</c:v>
                </c:pt>
                <c:pt idx="249">
                  <c:v>234.07336199992565</c:v>
                </c:pt>
                <c:pt idx="250">
                  <c:v>235.96478799992752</c:v>
                </c:pt>
                <c:pt idx="251">
                  <c:v>235.96478799992752</c:v>
                </c:pt>
                <c:pt idx="252">
                  <c:v>237.84368799992936</c:v>
                </c:pt>
                <c:pt idx="253">
                  <c:v>237.84368799992936</c:v>
                </c:pt>
                <c:pt idx="254">
                  <c:v>239.72885099993115</c:v>
                </c:pt>
                <c:pt idx="255">
                  <c:v>239.72885099993115</c:v>
                </c:pt>
                <c:pt idx="256">
                  <c:v>241.60775099993299</c:v>
                </c:pt>
                <c:pt idx="257">
                  <c:v>241.60775099993299</c:v>
                </c:pt>
                <c:pt idx="258">
                  <c:v>243.48665099993485</c:v>
                </c:pt>
                <c:pt idx="259">
                  <c:v>243.48665099993485</c:v>
                </c:pt>
                <c:pt idx="260">
                  <c:v>245.37807699993664</c:v>
                </c:pt>
                <c:pt idx="261">
                  <c:v>245.37807699993664</c:v>
                </c:pt>
                <c:pt idx="262">
                  <c:v>247.26950299993851</c:v>
                </c:pt>
                <c:pt idx="263">
                  <c:v>247.26950299993851</c:v>
                </c:pt>
                <c:pt idx="264">
                  <c:v>249.15466599994036</c:v>
                </c:pt>
                <c:pt idx="265">
                  <c:v>249.15466599994036</c:v>
                </c:pt>
                <c:pt idx="266">
                  <c:v>251.03982899994216</c:v>
                </c:pt>
                <c:pt idx="267">
                  <c:v>251.03982899994216</c:v>
                </c:pt>
                <c:pt idx="268">
                  <c:v>252.931254999944</c:v>
                </c:pt>
                <c:pt idx="269">
                  <c:v>252.931254999944</c:v>
                </c:pt>
                <c:pt idx="270">
                  <c:v>254.82268099994587</c:v>
                </c:pt>
                <c:pt idx="271">
                  <c:v>254.82268099994587</c:v>
                </c:pt>
                <c:pt idx="272">
                  <c:v>256.71410699994607</c:v>
                </c:pt>
                <c:pt idx="273">
                  <c:v>256.71410699994607</c:v>
                </c:pt>
                <c:pt idx="274">
                  <c:v>258.59926999994366</c:v>
                </c:pt>
                <c:pt idx="275">
                  <c:v>258.59926999994366</c:v>
                </c:pt>
                <c:pt idx="276">
                  <c:v>260.49069599994124</c:v>
                </c:pt>
                <c:pt idx="277">
                  <c:v>260.49069599994124</c:v>
                </c:pt>
                <c:pt idx="278">
                  <c:v>262.38212199993882</c:v>
                </c:pt>
                <c:pt idx="279">
                  <c:v>262.38212199993882</c:v>
                </c:pt>
                <c:pt idx="280">
                  <c:v>264.27354799993634</c:v>
                </c:pt>
                <c:pt idx="281">
                  <c:v>264.27354799993634</c:v>
                </c:pt>
                <c:pt idx="282">
                  <c:v>266.15871099993393</c:v>
                </c:pt>
                <c:pt idx="283">
                  <c:v>266.15871099993393</c:v>
                </c:pt>
                <c:pt idx="284">
                  <c:v>268.04387399993152</c:v>
                </c:pt>
                <c:pt idx="285">
                  <c:v>268.04387399993152</c:v>
                </c:pt>
                <c:pt idx="286">
                  <c:v>269.92903699992911</c:v>
                </c:pt>
                <c:pt idx="287">
                  <c:v>269.92903699992911</c:v>
                </c:pt>
                <c:pt idx="288">
                  <c:v>271.81419999992664</c:v>
                </c:pt>
                <c:pt idx="289">
                  <c:v>271.81419999992664</c:v>
                </c:pt>
                <c:pt idx="290">
                  <c:v>273.70562599992422</c:v>
                </c:pt>
                <c:pt idx="291">
                  <c:v>273.70562599992422</c:v>
                </c:pt>
                <c:pt idx="292">
                  <c:v>275.59078899992181</c:v>
                </c:pt>
                <c:pt idx="293">
                  <c:v>275.59078899992181</c:v>
                </c:pt>
                <c:pt idx="294">
                  <c:v>277.4759519999194</c:v>
                </c:pt>
                <c:pt idx="295">
                  <c:v>277.4759519999194</c:v>
                </c:pt>
                <c:pt idx="296">
                  <c:v>279.36111499991694</c:v>
                </c:pt>
                <c:pt idx="297">
                  <c:v>279.36111499991694</c:v>
                </c:pt>
                <c:pt idx="298">
                  <c:v>281.24627799991453</c:v>
                </c:pt>
                <c:pt idx="299">
                  <c:v>281.24627799991453</c:v>
                </c:pt>
                <c:pt idx="300">
                  <c:v>283.13770399991211</c:v>
                </c:pt>
                <c:pt idx="301">
                  <c:v>283.13770399991211</c:v>
                </c:pt>
                <c:pt idx="302">
                  <c:v>285.01660399990971</c:v>
                </c:pt>
                <c:pt idx="303">
                  <c:v>285.01660399990971</c:v>
                </c:pt>
                <c:pt idx="304">
                  <c:v>286.90802999990723</c:v>
                </c:pt>
                <c:pt idx="305">
                  <c:v>286.90802999990723</c:v>
                </c:pt>
                <c:pt idx="306">
                  <c:v>288.79319299990482</c:v>
                </c:pt>
                <c:pt idx="307">
                  <c:v>288.79319299990482</c:v>
                </c:pt>
                <c:pt idx="308">
                  <c:v>290.67835599990241</c:v>
                </c:pt>
                <c:pt idx="309">
                  <c:v>290.67835599990241</c:v>
                </c:pt>
                <c:pt idx="310">
                  <c:v>292.55725599990001</c:v>
                </c:pt>
                <c:pt idx="311">
                  <c:v>292.55725599990001</c:v>
                </c:pt>
                <c:pt idx="312">
                  <c:v>294.44868199989753</c:v>
                </c:pt>
                <c:pt idx="313">
                  <c:v>294.44868199989753</c:v>
                </c:pt>
                <c:pt idx="314">
                  <c:v>296.33384499989512</c:v>
                </c:pt>
                <c:pt idx="315">
                  <c:v>296.33384499989512</c:v>
                </c:pt>
                <c:pt idx="316">
                  <c:v>298.21900799989271</c:v>
                </c:pt>
                <c:pt idx="317">
                  <c:v>298.21900799989271</c:v>
                </c:pt>
                <c:pt idx="318">
                  <c:v>300.1041709998903</c:v>
                </c:pt>
                <c:pt idx="319">
                  <c:v>300.1041709998903</c:v>
                </c:pt>
                <c:pt idx="320">
                  <c:v>301.99559699988788</c:v>
                </c:pt>
                <c:pt idx="321">
                  <c:v>301.99559699988788</c:v>
                </c:pt>
                <c:pt idx="322">
                  <c:v>303.8870229998854</c:v>
                </c:pt>
                <c:pt idx="323">
                  <c:v>303.8870229998854</c:v>
                </c:pt>
                <c:pt idx="324">
                  <c:v>305.77844899988298</c:v>
                </c:pt>
                <c:pt idx="325">
                  <c:v>305.77844899988298</c:v>
                </c:pt>
                <c:pt idx="326">
                  <c:v>307.66987499988056</c:v>
                </c:pt>
                <c:pt idx="327">
                  <c:v>307.66987499988056</c:v>
                </c:pt>
                <c:pt idx="328">
                  <c:v>309.55503799987815</c:v>
                </c:pt>
                <c:pt idx="329">
                  <c:v>309.55503799987815</c:v>
                </c:pt>
                <c:pt idx="330">
                  <c:v>311.44020099987569</c:v>
                </c:pt>
                <c:pt idx="331">
                  <c:v>311.44020099987569</c:v>
                </c:pt>
                <c:pt idx="332">
                  <c:v>313.32536399987328</c:v>
                </c:pt>
                <c:pt idx="333">
                  <c:v>313.32536399987328</c:v>
                </c:pt>
                <c:pt idx="334">
                  <c:v>315.21052699987086</c:v>
                </c:pt>
                <c:pt idx="335">
                  <c:v>315.21052699987086</c:v>
                </c:pt>
                <c:pt idx="336">
                  <c:v>317.10195299986844</c:v>
                </c:pt>
                <c:pt idx="337">
                  <c:v>317.10195299986844</c:v>
                </c:pt>
                <c:pt idx="338">
                  <c:v>318.98711599986598</c:v>
                </c:pt>
                <c:pt idx="339">
                  <c:v>318.98711599986598</c:v>
                </c:pt>
                <c:pt idx="340">
                  <c:v>320.87227899986357</c:v>
                </c:pt>
                <c:pt idx="341">
                  <c:v>320.87227899986357</c:v>
                </c:pt>
                <c:pt idx="342">
                  <c:v>322.75744199986116</c:v>
                </c:pt>
                <c:pt idx="343">
                  <c:v>322.75744199986116</c:v>
                </c:pt>
                <c:pt idx="344">
                  <c:v>324.64260499985875</c:v>
                </c:pt>
                <c:pt idx="345">
                  <c:v>324.64260499985875</c:v>
                </c:pt>
                <c:pt idx="346">
                  <c:v>326.52776799985628</c:v>
                </c:pt>
                <c:pt idx="347">
                  <c:v>326.52776799985628</c:v>
                </c:pt>
                <c:pt idx="348">
                  <c:v>328.41919399985386</c:v>
                </c:pt>
                <c:pt idx="349">
                  <c:v>328.41919399985386</c:v>
                </c:pt>
                <c:pt idx="350">
                  <c:v>330.31061999985144</c:v>
                </c:pt>
                <c:pt idx="351">
                  <c:v>330.31061999985144</c:v>
                </c:pt>
                <c:pt idx="352">
                  <c:v>332.20204599984902</c:v>
                </c:pt>
                <c:pt idx="353">
                  <c:v>332.20204599984902</c:v>
                </c:pt>
                <c:pt idx="354">
                  <c:v>334.09347199984654</c:v>
                </c:pt>
                <c:pt idx="355">
                  <c:v>334.09347199984654</c:v>
                </c:pt>
                <c:pt idx="356">
                  <c:v>335.97863499984413</c:v>
                </c:pt>
                <c:pt idx="357">
                  <c:v>335.97863499984413</c:v>
                </c:pt>
                <c:pt idx="358">
                  <c:v>337.86379799984172</c:v>
                </c:pt>
                <c:pt idx="359">
                  <c:v>337.86379799984172</c:v>
                </c:pt>
                <c:pt idx="360">
                  <c:v>339.74896099983931</c:v>
                </c:pt>
                <c:pt idx="361">
                  <c:v>339.74896099983931</c:v>
                </c:pt>
                <c:pt idx="362">
                  <c:v>341.63412399983685</c:v>
                </c:pt>
                <c:pt idx="363">
                  <c:v>341.63412399983685</c:v>
                </c:pt>
                <c:pt idx="364">
                  <c:v>343.52554999983442</c:v>
                </c:pt>
                <c:pt idx="365">
                  <c:v>343.52554999983442</c:v>
                </c:pt>
                <c:pt idx="366">
                  <c:v>345.416975999832</c:v>
                </c:pt>
                <c:pt idx="367">
                  <c:v>345.416975999832</c:v>
                </c:pt>
                <c:pt idx="368">
                  <c:v>347.30840199982958</c:v>
                </c:pt>
                <c:pt idx="369">
                  <c:v>347.30840199982958</c:v>
                </c:pt>
                <c:pt idx="370">
                  <c:v>349.19356499982717</c:v>
                </c:pt>
                <c:pt idx="371">
                  <c:v>349.19356499982717</c:v>
                </c:pt>
                <c:pt idx="372">
                  <c:v>351.07872799982471</c:v>
                </c:pt>
                <c:pt idx="373">
                  <c:v>351.07872799982471</c:v>
                </c:pt>
                <c:pt idx="374">
                  <c:v>352.9638909998223</c:v>
                </c:pt>
                <c:pt idx="375">
                  <c:v>352.9638909998223</c:v>
                </c:pt>
                <c:pt idx="376">
                  <c:v>354.84905399981989</c:v>
                </c:pt>
                <c:pt idx="377">
                  <c:v>354.84905399981989</c:v>
                </c:pt>
                <c:pt idx="378">
                  <c:v>356.73421699981748</c:v>
                </c:pt>
                <c:pt idx="379">
                  <c:v>356.73421699981748</c:v>
                </c:pt>
                <c:pt idx="380">
                  <c:v>358.61937999981501</c:v>
                </c:pt>
                <c:pt idx="381">
                  <c:v>358.61937999981501</c:v>
                </c:pt>
              </c:numCache>
            </c:numRef>
          </c:xVal>
          <c:yVal>
            <c:numRef>
              <c:f>DTDRpat_result0!$O$2:$O$427</c:f>
              <c:numCache>
                <c:formatCode>General</c:formatCode>
                <c:ptCount val="426"/>
                <c:pt idx="0">
                  <c:v>1.0364912578066909</c:v>
                </c:pt>
                <c:pt idx="1">
                  <c:v>1.0364930358908084</c:v>
                </c:pt>
                <c:pt idx="2">
                  <c:v>1.0360700658489905</c:v>
                </c:pt>
                <c:pt idx="3">
                  <c:v>1.0371402379857686</c:v>
                </c:pt>
                <c:pt idx="4">
                  <c:v>1.0358743784354421</c:v>
                </c:pt>
                <c:pt idx="5">
                  <c:v>1.0380238307433103</c:v>
                </c:pt>
                <c:pt idx="6">
                  <c:v>1.0359098749757607</c:v>
                </c:pt>
                <c:pt idx="7">
                  <c:v>1.0391179538103315</c:v>
                </c:pt>
                <c:pt idx="8">
                  <c:v>1.0361761674138823</c:v>
                </c:pt>
                <c:pt idx="9">
                  <c:v>1.0404435726701098</c:v>
                </c:pt>
                <c:pt idx="10">
                  <c:v>1.0366691796364249</c:v>
                </c:pt>
                <c:pt idx="11">
                  <c:v>1.0419758410337552</c:v>
                </c:pt>
                <c:pt idx="12">
                  <c:v>1.0373856239178083</c:v>
                </c:pt>
                <c:pt idx="13">
                  <c:v>1.04371191278127</c:v>
                </c:pt>
                <c:pt idx="14">
                  <c:v>1.0383247062880163</c:v>
                </c:pt>
                <c:pt idx="15">
                  <c:v>1.0456509957700175</c:v>
                </c:pt>
                <c:pt idx="16">
                  <c:v>1.0394962047424534</c:v>
                </c:pt>
                <c:pt idx="17">
                  <c:v>1.0478093611158861</c:v>
                </c:pt>
                <c:pt idx="18">
                  <c:v>1.0408782583256038</c:v>
                </c:pt>
                <c:pt idx="19">
                  <c:v>1.0501453250509518</c:v>
                </c:pt>
                <c:pt idx="20">
                  <c:v>1.0425132567676714</c:v>
                </c:pt>
                <c:pt idx="21">
                  <c:v>1.0527255826262114</c:v>
                </c:pt>
                <c:pt idx="22">
                  <c:v>1.0443471997177136</c:v>
                </c:pt>
                <c:pt idx="23">
                  <c:v>1.0554611973230257</c:v>
                </c:pt>
                <c:pt idx="24">
                  <c:v>1.0463818846463524</c:v>
                </c:pt>
                <c:pt idx="25">
                  <c:v>1.0583570801688083</c:v>
                </c:pt>
                <c:pt idx="26">
                  <c:v>1.0486087317428938</c:v>
                </c:pt>
                <c:pt idx="27">
                  <c:v>1.0614013757698644</c:v>
                </c:pt>
                <c:pt idx="28">
                  <c:v>1.0510266885972837</c:v>
                </c:pt>
                <c:pt idx="29">
                  <c:v>1.0645925084995465</c:v>
                </c:pt>
                <c:pt idx="30">
                  <c:v>1.053601025882523</c:v>
                </c:pt>
                <c:pt idx="31">
                  <c:v>1.067885185905761</c:v>
                </c:pt>
                <c:pt idx="32">
                  <c:v>1.0563651151598308</c:v>
                </c:pt>
                <c:pt idx="33">
                  <c:v>1.0713215209198903</c:v>
                </c:pt>
                <c:pt idx="34">
                  <c:v>1.059292726195302</c:v>
                </c:pt>
                <c:pt idx="35">
                  <c:v>1.0748669700748861</c:v>
                </c:pt>
                <c:pt idx="36">
                  <c:v>1.0623737079370164</c:v>
                </c:pt>
                <c:pt idx="37">
                  <c:v>1.0785079088978322</c:v>
                </c:pt>
                <c:pt idx="38">
                  <c:v>1.0655752338897364</c:v>
                </c:pt>
                <c:pt idx="39">
                  <c:v>1.0822051394044137</c:v>
                </c:pt>
                <c:pt idx="40">
                  <c:v>1.0689056830814385</c:v>
                </c:pt>
                <c:pt idx="41">
                  <c:v>1.0859677682033451</c:v>
                </c:pt>
                <c:pt idx="42">
                  <c:v>1.0723761640177025</c:v>
                </c:pt>
                <c:pt idx="43">
                  <c:v>1.0898061712362188</c:v>
                </c:pt>
                <c:pt idx="44">
                  <c:v>1.0759518076939767</c:v>
                </c:pt>
                <c:pt idx="45">
                  <c:v>1.0936792915324052</c:v>
                </c:pt>
                <c:pt idx="46">
                  <c:v>1.0796186944097708</c:v>
                </c:pt>
                <c:pt idx="47">
                  <c:v>1.0975705266652467</c:v>
                </c:pt>
                <c:pt idx="48">
                  <c:v>1.0833372729943969</c:v>
                </c:pt>
                <c:pt idx="49">
                  <c:v>1.1014371286934046</c:v>
                </c:pt>
                <c:pt idx="50">
                  <c:v>1.0871421030509207</c:v>
                </c:pt>
                <c:pt idx="51">
                  <c:v>1.105313326886451</c:v>
                </c:pt>
                <c:pt idx="52">
                  <c:v>1.0909672868288709</c:v>
                </c:pt>
                <c:pt idx="53">
                  <c:v>1.1091303151444218</c:v>
                </c:pt>
                <c:pt idx="54">
                  <c:v>1.0948604946000662</c:v>
                </c:pt>
                <c:pt idx="55">
                  <c:v>1.1129336139610582</c:v>
                </c:pt>
                <c:pt idx="56">
                  <c:v>1.0987281154752202</c:v>
                </c:pt>
                <c:pt idx="57">
                  <c:v>1.1166301251972532</c:v>
                </c:pt>
                <c:pt idx="58">
                  <c:v>1.1026174418450576</c:v>
                </c:pt>
                <c:pt idx="59">
                  <c:v>1.1202638286277866</c:v>
                </c:pt>
                <c:pt idx="60">
                  <c:v>1.1064724577733263</c:v>
                </c:pt>
                <c:pt idx="61">
                  <c:v>1.1237803858299702</c:v>
                </c:pt>
                <c:pt idx="62">
                  <c:v>1.1102758616255848</c:v>
                </c:pt>
                <c:pt idx="63">
                  <c:v>1.1271633805710222</c:v>
                </c:pt>
                <c:pt idx="64">
                  <c:v>1.1140600523392832</c:v>
                </c:pt>
                <c:pt idx="65">
                  <c:v>1.1304393017716965</c:v>
                </c:pt>
                <c:pt idx="66">
                  <c:v>1.1177322180074145</c:v>
                </c:pt>
                <c:pt idx="67">
                  <c:v>1.1335264843971544</c:v>
                </c:pt>
                <c:pt idx="68">
                  <c:v>1.1213360438128745</c:v>
                </c:pt>
                <c:pt idx="69">
                  <c:v>1.1364607958454587</c:v>
                </c:pt>
                <c:pt idx="70">
                  <c:v>1.1248174968628268</c:v>
                </c:pt>
                <c:pt idx="71">
                  <c:v>1.1391966975891397</c:v>
                </c:pt>
                <c:pt idx="72">
                  <c:v>1.1281821187444101</c:v>
                </c:pt>
                <c:pt idx="73">
                  <c:v>1.1417374635134767</c:v>
                </c:pt>
                <c:pt idx="74">
                  <c:v>1.1314008464229537</c:v>
                </c:pt>
                <c:pt idx="75">
                  <c:v>1.1440597354753825</c:v>
                </c:pt>
                <c:pt idx="76">
                  <c:v>1.1344371951541485</c:v>
                </c:pt>
                <c:pt idx="77">
                  <c:v>1.1461375158558627</c:v>
                </c:pt>
                <c:pt idx="78">
                  <c:v>1.137297067380403</c:v>
                </c:pt>
                <c:pt idx="79">
                  <c:v>1.1479754107344955</c:v>
                </c:pt>
                <c:pt idx="80">
                  <c:v>1.1399909848178074</c:v>
                </c:pt>
                <c:pt idx="81">
                  <c:v>1.1495777094142112</c:v>
                </c:pt>
                <c:pt idx="82">
                  <c:v>1.1424511068977383</c:v>
                </c:pt>
                <c:pt idx="83">
                  <c:v>1.1509036850048877</c:v>
                </c:pt>
                <c:pt idx="84">
                  <c:v>1.1447058942042156</c:v>
                </c:pt>
                <c:pt idx="85">
                  <c:v>1.1519690758960976</c:v>
                </c:pt>
                <c:pt idx="86">
                  <c:v>1.1467256350761987</c:v>
                </c:pt>
                <c:pt idx="87">
                  <c:v>1.152758000831607</c:v>
                </c:pt>
                <c:pt idx="88">
                  <c:v>1.1484989642052028</c:v>
                </c:pt>
                <c:pt idx="89">
                  <c:v>1.1532658672431502</c:v>
                </c:pt>
                <c:pt idx="90">
                  <c:v>1.1500066033333696</c:v>
                </c:pt>
                <c:pt idx="91">
                  <c:v>1.1534891867861887</c:v>
                </c:pt>
                <c:pt idx="92">
                  <c:v>1.1512526050882057</c:v>
                </c:pt>
                <c:pt idx="93">
                  <c:v>1.1534309642327303</c:v>
                </c:pt>
                <c:pt idx="94">
                  <c:v>1.1522354768590415</c:v>
                </c:pt>
                <c:pt idx="95">
                  <c:v>1.1530883551162188</c:v>
                </c:pt>
                <c:pt idx="96">
                  <c:v>1.1529403304302956</c:v>
                </c:pt>
                <c:pt idx="97">
                  <c:v>1.152462724231625</c:v>
                </c:pt>
                <c:pt idx="98">
                  <c:v>1.1533631031917169</c:v>
                </c:pt>
                <c:pt idx="99">
                  <c:v>1.1515578137948188</c:v>
                </c:pt>
                <c:pt idx="100">
                  <c:v>1.1535013044849518</c:v>
                </c:pt>
                <c:pt idx="101">
                  <c:v>1.1503874797297036</c:v>
                </c:pt>
                <c:pt idx="102">
                  <c:v>1.1533579051601175</c:v>
                </c:pt>
                <c:pt idx="103">
                  <c:v>1.1489533460016181</c:v>
                </c:pt>
                <c:pt idx="104">
                  <c:v>1.152928052761979</c:v>
                </c:pt>
                <c:pt idx="105">
                  <c:v>1.1472454041150271</c:v>
                </c:pt>
                <c:pt idx="106">
                  <c:v>1.152217121307981</c:v>
                </c:pt>
                <c:pt idx="107">
                  <c:v>1.1452932848144126</c:v>
                </c:pt>
                <c:pt idx="108">
                  <c:v>1.1512357190045712</c:v>
                </c:pt>
                <c:pt idx="109">
                  <c:v>1.1431181046133241</c:v>
                </c:pt>
                <c:pt idx="110">
                  <c:v>1.1499857117624297</c:v>
                </c:pt>
                <c:pt idx="111">
                  <c:v>1.1407197553999153</c:v>
                </c:pt>
                <c:pt idx="112">
                  <c:v>1.1484741687731315</c:v>
                </c:pt>
                <c:pt idx="113">
                  <c:v>1.1381112929984638</c:v>
                </c:pt>
                <c:pt idx="114">
                  <c:v>1.1466907611357309</c:v>
                </c:pt>
                <c:pt idx="115">
                  <c:v>1.1352778715613236</c:v>
                </c:pt>
                <c:pt idx="116">
                  <c:v>1.1446666135432979</c:v>
                </c:pt>
                <c:pt idx="117">
                  <c:v>1.1322701636082553</c:v>
                </c:pt>
                <c:pt idx="118">
                  <c:v>1.1424076378858241</c:v>
                </c:pt>
                <c:pt idx="119">
                  <c:v>1.1290951736155441</c:v>
                </c:pt>
                <c:pt idx="120">
                  <c:v>1.1399264337234272</c:v>
                </c:pt>
                <c:pt idx="121">
                  <c:v>1.1257694941928031</c:v>
                </c:pt>
                <c:pt idx="122">
                  <c:v>1.1372551585827013</c:v>
                </c:pt>
                <c:pt idx="123">
                  <c:v>1.1223336894221487</c:v>
                </c:pt>
                <c:pt idx="124">
                  <c:v>1.134392499083948</c:v>
                </c:pt>
                <c:pt idx="125">
                  <c:v>1.118783400506622</c:v>
                </c:pt>
                <c:pt idx="126">
                  <c:v>1.131353596719026</c:v>
                </c:pt>
                <c:pt idx="127">
                  <c:v>1.1151361119119845</c:v>
                </c:pt>
                <c:pt idx="128">
                  <c:v>1.1281434830475012</c:v>
                </c:pt>
                <c:pt idx="129">
                  <c:v>1.1113969222730826</c:v>
                </c:pt>
                <c:pt idx="130">
                  <c:v>1.1247658940104184</c:v>
                </c:pt>
                <c:pt idx="131">
                  <c:v>1.1075703037266316</c:v>
                </c:pt>
                <c:pt idx="132">
                  <c:v>1.1212708742291673</c:v>
                </c:pt>
                <c:pt idx="133">
                  <c:v>1.1037118195021345</c:v>
                </c:pt>
                <c:pt idx="134">
                  <c:v>1.1176651496106593</c:v>
                </c:pt>
                <c:pt idx="135">
                  <c:v>1.0998267669782769</c:v>
                </c:pt>
                <c:pt idx="136">
                  <c:v>1.113966701044669</c:v>
                </c:pt>
                <c:pt idx="137">
                  <c:v>1.0959327844112179</c:v>
                </c:pt>
                <c:pt idx="138">
                  <c:v>1.1101934524888624</c:v>
                </c:pt>
                <c:pt idx="139">
                  <c:v>1.0920471101881246</c:v>
                </c:pt>
                <c:pt idx="140">
                  <c:v>1.1063635143942907</c:v>
                </c:pt>
                <c:pt idx="141">
                  <c:v>1.088186616563628</c:v>
                </c:pt>
                <c:pt idx="142">
                  <c:v>1.1025076543170567</c:v>
                </c:pt>
                <c:pt idx="143">
                  <c:v>1.0843802503896729</c:v>
                </c:pt>
                <c:pt idx="144">
                  <c:v>1.0986437487624021</c:v>
                </c:pt>
                <c:pt idx="145">
                  <c:v>1.0806432443393765</c:v>
                </c:pt>
                <c:pt idx="146">
                  <c:v>1.094750497077968</c:v>
                </c:pt>
                <c:pt idx="147">
                  <c:v>1.0769537647513137</c:v>
                </c:pt>
                <c:pt idx="148">
                  <c:v>1.0908706871996035</c:v>
                </c:pt>
                <c:pt idx="149">
                  <c:v>1.0733515974776491</c:v>
                </c:pt>
                <c:pt idx="150">
                  <c:v>1.0870211111022665</c:v>
                </c:pt>
                <c:pt idx="151">
                  <c:v>1.0698507622891813</c:v>
                </c:pt>
                <c:pt idx="152">
                  <c:v>1.0832304714951899</c:v>
                </c:pt>
                <c:pt idx="153">
                  <c:v>1.0664756803307727</c:v>
                </c:pt>
                <c:pt idx="154">
                  <c:v>1.0794893205611253</c:v>
                </c:pt>
                <c:pt idx="155">
                  <c:v>1.0632164805806816</c:v>
                </c:pt>
                <c:pt idx="156">
                  <c:v>1.0758373589014927</c:v>
                </c:pt>
                <c:pt idx="157">
                  <c:v>1.0601066978953335</c:v>
                </c:pt>
                <c:pt idx="158">
                  <c:v>1.0722881916034308</c:v>
                </c:pt>
                <c:pt idx="159">
                  <c:v>1.0571559474804681</c:v>
                </c:pt>
                <c:pt idx="160">
                  <c:v>1.0688204685210558</c:v>
                </c:pt>
                <c:pt idx="161">
                  <c:v>1.0543458210317878</c:v>
                </c:pt>
                <c:pt idx="162">
                  <c:v>1.065493087313246</c:v>
                </c:pt>
                <c:pt idx="163">
                  <c:v>1.0517231869420938</c:v>
                </c:pt>
                <c:pt idx="164">
                  <c:v>1.0622741109558085</c:v>
                </c:pt>
                <c:pt idx="165">
                  <c:v>1.0492619408752268</c:v>
                </c:pt>
                <c:pt idx="166">
                  <c:v>1.0592177334500938</c:v>
                </c:pt>
                <c:pt idx="167">
                  <c:v>1.0470028800640523</c:v>
                </c:pt>
                <c:pt idx="168">
                  <c:v>1.056312858933786</c:v>
                </c:pt>
                <c:pt idx="169">
                  <c:v>1.0449363617141147</c:v>
                </c:pt>
                <c:pt idx="170">
                  <c:v>1.0535696449961132</c:v>
                </c:pt>
                <c:pt idx="171">
                  <c:v>1.0430690117993853</c:v>
                </c:pt>
                <c:pt idx="172">
                  <c:v>1.0509807903871289</c:v>
                </c:pt>
                <c:pt idx="173">
                  <c:v>1.041396368717906</c:v>
                </c:pt>
                <c:pt idx="174">
                  <c:v>1.048573908609568</c:v>
                </c:pt>
                <c:pt idx="175">
                  <c:v>1.0399368485356693</c:v>
                </c:pt>
                <c:pt idx="176">
                  <c:v>1.0463710834953486</c:v>
                </c:pt>
                <c:pt idx="177">
                  <c:v>1.0387025192651509</c:v>
                </c:pt>
                <c:pt idx="178">
                  <c:v>1.0443501019179129</c:v>
                </c:pt>
                <c:pt idx="179">
                  <c:v>1.0376807251384701</c:v>
                </c:pt>
                <c:pt idx="180">
                  <c:v>1.042532904884071</c:v>
                </c:pt>
                <c:pt idx="181">
                  <c:v>1.0368835834927832</c:v>
                </c:pt>
                <c:pt idx="182">
                  <c:v>1.0409351290251003</c:v>
                </c:pt>
                <c:pt idx="183">
                  <c:v>1.0363166050899593</c:v>
                </c:pt>
                <c:pt idx="184">
                  <c:v>1.0395405808372646</c:v>
                </c:pt>
                <c:pt idx="185">
                  <c:v>1.0359738449870308</c:v>
                </c:pt>
                <c:pt idx="186">
                  <c:v>1.0383649304886111</c:v>
                </c:pt>
                <c:pt idx="187">
                  <c:v>1.035860949022583</c:v>
                </c:pt>
                <c:pt idx="188">
                  <c:v>1.0374118758974307</c:v>
                </c:pt>
                <c:pt idx="189">
                  <c:v>1.0359782816950716</c:v>
                </c:pt>
                <c:pt idx="190">
                  <c:v>1.0366862611815628</c:v>
                </c:pt>
                <c:pt idx="191">
                  <c:v>1.0363238900162151</c:v>
                </c:pt>
                <c:pt idx="192">
                  <c:v>1.0361856390915829</c:v>
                </c:pt>
                <c:pt idx="193">
                  <c:v>1.0368990447280027</c:v>
                </c:pt>
                <c:pt idx="194">
                  <c:v>1.0359141726325445</c:v>
                </c:pt>
                <c:pt idx="195">
                  <c:v>1.0377012671709154</c:v>
                </c:pt>
                <c:pt idx="196">
                  <c:v>1.0358724921118234</c:v>
                </c:pt>
                <c:pt idx="197">
                  <c:v>1.0387243130026353</c:v>
                </c:pt>
                <c:pt idx="198">
                  <c:v>1.0360604752407823</c:v>
                </c:pt>
                <c:pt idx="199">
                  <c:v>1.0399718114211285</c:v>
                </c:pt>
                <c:pt idx="200">
                  <c:v>1.0364762832182279</c:v>
                </c:pt>
                <c:pt idx="201">
                  <c:v>1.0414317196868774</c:v>
                </c:pt>
                <c:pt idx="202">
                  <c:v>1.0371189033854005</c:v>
                </c:pt>
                <c:pt idx="203">
                  <c:v>1.0431031885191977</c:v>
                </c:pt>
                <c:pt idx="204">
                  <c:v>1.0379831547899088</c:v>
                </c:pt>
                <c:pt idx="205">
                  <c:v>1.0449744402706131</c:v>
                </c:pt>
                <c:pt idx="206">
                  <c:v>1.0390721385949135</c:v>
                </c:pt>
                <c:pt idx="207">
                  <c:v>1.0470519746004439</c:v>
                </c:pt>
                <c:pt idx="208">
                  <c:v>1.0403753314960118</c:v>
                </c:pt>
                <c:pt idx="209">
                  <c:v>1.0493153206127501</c:v>
                </c:pt>
                <c:pt idx="210">
                  <c:v>1.0419028305626352</c:v>
                </c:pt>
                <c:pt idx="211">
                  <c:v>1.0517806851469369</c:v>
                </c:pt>
                <c:pt idx="212">
                  <c:v>1.0436357259768378</c:v>
                </c:pt>
                <c:pt idx="213">
                  <c:v>1.05441628523894</c:v>
                </c:pt>
                <c:pt idx="214">
                  <c:v>1.0455800682675951</c:v>
                </c:pt>
                <c:pt idx="215">
                  <c:v>1.0572306769265096</c:v>
                </c:pt>
                <c:pt idx="216">
                  <c:v>1.0477241579609273</c:v>
                </c:pt>
                <c:pt idx="217">
                  <c:v>1.0602056502726886</c:v>
                </c:pt>
                <c:pt idx="218">
                  <c:v>1.0500529949352708</c:v>
                </c:pt>
                <c:pt idx="219">
                  <c:v>1.0633201135355119</c:v>
                </c:pt>
                <c:pt idx="220">
                  <c:v>1.0525657009890019</c:v>
                </c:pt>
                <c:pt idx="221">
                  <c:v>1.0665725845248886</c:v>
                </c:pt>
                <c:pt idx="222">
                  <c:v>1.0552538505674522</c:v>
                </c:pt>
                <c:pt idx="223">
                  <c:v>1.0699511689469186</c:v>
                </c:pt>
                <c:pt idx="224">
                  <c:v>1.058108331591896</c:v>
                </c:pt>
                <c:pt idx="225">
                  <c:v>1.0734433922639195</c:v>
                </c:pt>
                <c:pt idx="226">
                  <c:v>1.0611193060239634</c:v>
                </c:pt>
                <c:pt idx="227">
                  <c:v>1.0770359030940306</c:v>
                </c:pt>
                <c:pt idx="228">
                  <c:v>1.0642654271728729</c:v>
                </c:pt>
                <c:pt idx="229">
                  <c:v>1.080702501553829</c:v>
                </c:pt>
                <c:pt idx="230">
                  <c:v>1.0675674850752082</c:v>
                </c:pt>
                <c:pt idx="231">
                  <c:v>1.0844656346035315</c:v>
                </c:pt>
                <c:pt idx="232">
                  <c:v>1.0709928353325349</c:v>
                </c:pt>
                <c:pt idx="233">
                  <c:v>1.0882858314096127</c:v>
                </c:pt>
                <c:pt idx="234">
                  <c:v>1.0745167104905899</c:v>
                </c:pt>
                <c:pt idx="235">
                  <c:v>1.0921343754133372</c:v>
                </c:pt>
                <c:pt idx="236">
                  <c:v>1.0781367748881634</c:v>
                </c:pt>
                <c:pt idx="237">
                  <c:v>1.0960075542944712</c:v>
                </c:pt>
                <c:pt idx="238">
                  <c:v>1.0818389477002865</c:v>
                </c:pt>
                <c:pt idx="239">
                  <c:v>1.099888624496163</c:v>
                </c:pt>
                <c:pt idx="240">
                  <c:v>1.0856210799066202</c:v>
                </c:pt>
                <c:pt idx="241">
                  <c:v>1.1037733687685809</c:v>
                </c:pt>
                <c:pt idx="242">
                  <c:v>1.0894554868106376</c:v>
                </c:pt>
                <c:pt idx="243">
                  <c:v>1.1076312777411783</c:v>
                </c:pt>
                <c:pt idx="244">
                  <c:v>1.0933132669642371</c:v>
                </c:pt>
                <c:pt idx="245">
                  <c:v>1.111432004624435</c:v>
                </c:pt>
                <c:pt idx="246">
                  <c:v>1.0971906423751165</c:v>
                </c:pt>
                <c:pt idx="247">
                  <c:v>1.1151705091605224</c:v>
                </c:pt>
                <c:pt idx="248">
                  <c:v>1.1010578827054809</c:v>
                </c:pt>
                <c:pt idx="249">
                  <c:v>1.1188169711526381</c:v>
                </c:pt>
                <c:pt idx="250">
                  <c:v>1.1049364362040299</c:v>
                </c:pt>
                <c:pt idx="251">
                  <c:v>1.1223895981444674</c:v>
                </c:pt>
                <c:pt idx="252">
                  <c:v>1.1087574655681052</c:v>
                </c:pt>
                <c:pt idx="253">
                  <c:v>1.1258234177904407</c:v>
                </c:pt>
                <c:pt idx="254">
                  <c:v>1.1125417215922273</c:v>
                </c:pt>
                <c:pt idx="255">
                  <c:v>1.129136038225651</c:v>
                </c:pt>
                <c:pt idx="256">
                  <c:v>1.1162462839918899</c:v>
                </c:pt>
                <c:pt idx="257">
                  <c:v>1.1322885581712103</c:v>
                </c:pt>
                <c:pt idx="258">
                  <c:v>1.1198661242137755</c:v>
                </c:pt>
                <c:pt idx="259">
                  <c:v>1.1352759352569852</c:v>
                </c:pt>
                <c:pt idx="260">
                  <c:v>1.1234067653856494</c:v>
                </c:pt>
                <c:pt idx="261">
                  <c:v>1.1381004454311201</c:v>
                </c:pt>
                <c:pt idx="262">
                  <c:v>1.1268259578647875</c:v>
                </c:pt>
                <c:pt idx="263">
                  <c:v>1.1407264125155745</c:v>
                </c:pt>
                <c:pt idx="264">
                  <c:v>1.130095665925039</c:v>
                </c:pt>
                <c:pt idx="265">
                  <c:v>1.1431318182051633</c:v>
                </c:pt>
                <c:pt idx="266">
                  <c:v>1.1332105312604157</c:v>
                </c:pt>
                <c:pt idx="267">
                  <c:v>1.1453124977410225</c:v>
                </c:pt>
                <c:pt idx="268">
                  <c:v>1.136163726700939</c:v>
                </c:pt>
                <c:pt idx="269">
                  <c:v>1.1472623392533197</c:v>
                </c:pt>
                <c:pt idx="270">
                  <c:v>1.1389288552066581</c:v>
                </c:pt>
                <c:pt idx="271">
                  <c:v>1.1489627383096286</c:v>
                </c:pt>
                <c:pt idx="272">
                  <c:v>1.1414908951444325</c:v>
                </c:pt>
                <c:pt idx="273">
                  <c:v>1.1504039729338233</c:v>
                </c:pt>
                <c:pt idx="274">
                  <c:v>1.1438284115281492</c:v>
                </c:pt>
                <c:pt idx="275">
                  <c:v>1.1515743480825418</c:v>
                </c:pt>
                <c:pt idx="276">
                  <c:v>1.1459439118509829</c:v>
                </c:pt>
                <c:pt idx="277">
                  <c:v>1.1524748719898936</c:v>
                </c:pt>
                <c:pt idx="278">
                  <c:v>1.1478174411451556</c:v>
                </c:pt>
                <c:pt idx="279">
                  <c:v>1.1530960095546066</c:v>
                </c:pt>
                <c:pt idx="280">
                  <c:v>1.1494383312783474</c:v>
                </c:pt>
                <c:pt idx="281">
                  <c:v>1.1534341309838045</c:v>
                </c:pt>
                <c:pt idx="282">
                  <c:v>1.1507932944346926</c:v>
                </c:pt>
                <c:pt idx="283">
                  <c:v>1.1534875505502307</c:v>
                </c:pt>
                <c:pt idx="284">
                  <c:v>1.1518803968205493</c:v>
                </c:pt>
                <c:pt idx="285">
                  <c:v>1.153257568933804</c:v>
                </c:pt>
                <c:pt idx="286">
                  <c:v>1.1526933556423962</c:v>
                </c:pt>
                <c:pt idx="287">
                  <c:v>1.1527454900744742</c:v>
                </c:pt>
                <c:pt idx="288">
                  <c:v>1.1532275039092834</c:v>
                </c:pt>
                <c:pt idx="289">
                  <c:v>1.1519542917053778</c:v>
                </c:pt>
                <c:pt idx="290">
                  <c:v>1.1534801008348221</c:v>
                </c:pt>
                <c:pt idx="291">
                  <c:v>1.150884555771158</c:v>
                </c:pt>
                <c:pt idx="292">
                  <c:v>1.1534480106838216</c:v>
                </c:pt>
                <c:pt idx="293">
                  <c:v>1.1495495183599984</c:v>
                </c:pt>
                <c:pt idx="294">
                  <c:v>1.1531327405237111</c:v>
                </c:pt>
                <c:pt idx="295">
                  <c:v>1.1479536794784873</c:v>
                </c:pt>
                <c:pt idx="296">
                  <c:v>1.1525361194028783</c:v>
                </c:pt>
                <c:pt idx="297">
                  <c:v>1.1461061500615968</c:v>
                </c:pt>
                <c:pt idx="298">
                  <c:v>1.151661614337542</c:v>
                </c:pt>
                <c:pt idx="299">
                  <c:v>1.1440172883420932</c:v>
                </c:pt>
                <c:pt idx="300">
                  <c:v>1.1505099522940214</c:v>
                </c:pt>
                <c:pt idx="301">
                  <c:v>1.1416906999443619</c:v>
                </c:pt>
                <c:pt idx="302">
                  <c:v>1.1491005219872106</c:v>
                </c:pt>
                <c:pt idx="303">
                  <c:v>1.1391634059083866</c:v>
                </c:pt>
                <c:pt idx="304">
                  <c:v>1.1474226494046496</c:v>
                </c:pt>
                <c:pt idx="305">
                  <c:v>1.1364156127331648</c:v>
                </c:pt>
                <c:pt idx="306">
                  <c:v>1.1455011976945257</c:v>
                </c:pt>
                <c:pt idx="307">
                  <c:v>1.1334884226564088</c:v>
                </c:pt>
                <c:pt idx="308">
                  <c:v>1.1433417943199913</c:v>
                </c:pt>
                <c:pt idx="309">
                  <c:v>1.1303886234272245</c:v>
                </c:pt>
                <c:pt idx="310">
                  <c:v>1.140964777838096</c:v>
                </c:pt>
                <c:pt idx="311">
                  <c:v>1.1271435036848352</c:v>
                </c:pt>
                <c:pt idx="312">
                  <c:v>1.1383584178381114</c:v>
                </c:pt>
                <c:pt idx="313">
                  <c:v>1.1237367577321726</c:v>
                </c:pt>
                <c:pt idx="314">
                  <c:v>1.1355617097883193</c:v>
                </c:pt>
                <c:pt idx="315">
                  <c:v>1.1202187355317419</c:v>
                </c:pt>
                <c:pt idx="316">
                  <c:v>1.1325813699634941</c:v>
                </c:pt>
                <c:pt idx="317">
                  <c:v>1.11659602148601</c:v>
                </c:pt>
                <c:pt idx="318">
                  <c:v>1.1294332061032439</c:v>
                </c:pt>
                <c:pt idx="319">
                  <c:v>1.1128863683050989</c:v>
                </c:pt>
                <c:pt idx="320">
                  <c:v>1.1261224555635985</c:v>
                </c:pt>
                <c:pt idx="321">
                  <c:v>1.1090949197430768</c:v>
                </c:pt>
                <c:pt idx="322">
                  <c:v>1.122676427820142</c:v>
                </c:pt>
                <c:pt idx="323">
                  <c:v>1.1052519839169213</c:v>
                </c:pt>
                <c:pt idx="324">
                  <c:v>1.1191126629040267</c:v>
                </c:pt>
                <c:pt idx="325">
                  <c:v>1.1013754186275277</c:v>
                </c:pt>
                <c:pt idx="326">
                  <c:v>1.1154489534136123</c:v>
                </c:pt>
                <c:pt idx="327">
                  <c:v>1.0974828641711054</c:v>
                </c:pt>
                <c:pt idx="328">
                  <c:v>1.1117158392606745</c:v>
                </c:pt>
                <c:pt idx="329">
                  <c:v>1.093604697480218</c:v>
                </c:pt>
                <c:pt idx="330">
                  <c:v>1.1079191624660649</c:v>
                </c:pt>
                <c:pt idx="331">
                  <c:v>1.089744882451833</c:v>
                </c:pt>
                <c:pt idx="332">
                  <c:v>1.1040768100934293</c:v>
                </c:pt>
                <c:pt idx="333">
                  <c:v>1.0859198094022315</c:v>
                </c:pt>
                <c:pt idx="334">
                  <c:v>1.1002064272462326</c:v>
                </c:pt>
                <c:pt idx="335">
                  <c:v>1.0821454617593651</c:v>
                </c:pt>
                <c:pt idx="336">
                  <c:v>1.0963125577111477</c:v>
                </c:pt>
                <c:pt idx="337">
                  <c:v>1.0784250281977896</c:v>
                </c:pt>
                <c:pt idx="338">
                  <c:v>1.0924381329222346</c:v>
                </c:pt>
                <c:pt idx="339">
                  <c:v>1.0747979499202021</c:v>
                </c:pt>
                <c:pt idx="340">
                  <c:v>1.0885870830504982</c:v>
                </c:pt>
                <c:pt idx="341">
                  <c:v>1.0712660353546186</c:v>
                </c:pt>
                <c:pt idx="342">
                  <c:v>1.0847756435908003</c:v>
                </c:pt>
                <c:pt idx="343">
                  <c:v>1.06784274669498</c:v>
                </c:pt>
                <c:pt idx="344">
                  <c:v>1.0810196593923098</c:v>
                </c:pt>
                <c:pt idx="345">
                  <c:v>1.064540864722811</c:v>
                </c:pt>
                <c:pt idx="346">
                  <c:v>1.0773342513225381</c:v>
                </c:pt>
                <c:pt idx="347">
                  <c:v>1.0613726209131986</c:v>
                </c:pt>
                <c:pt idx="348">
                  <c:v>1.0737223485231211</c:v>
                </c:pt>
                <c:pt idx="349">
                  <c:v>1.0583394881904058</c:v>
                </c:pt>
                <c:pt idx="350">
                  <c:v>1.0702102982765567</c:v>
                </c:pt>
                <c:pt idx="351">
                  <c:v>1.0554630591565339</c:v>
                </c:pt>
                <c:pt idx="352">
                  <c:v>1.0668116480026455</c:v>
                </c:pt>
                <c:pt idx="353">
                  <c:v>1.0527533608897868</c:v>
                </c:pt>
                <c:pt idx="354">
                  <c:v>1.063539103471679</c:v>
                </c:pt>
                <c:pt idx="355">
                  <c:v>1.0502197076377313</c:v>
                </c:pt>
                <c:pt idx="356">
                  <c:v>1.060414782318873</c:v>
                </c:pt>
                <c:pt idx="357">
                  <c:v>1.0478779657593882</c:v>
                </c:pt>
                <c:pt idx="358">
                  <c:v>1.0574388224647553</c:v>
                </c:pt>
                <c:pt idx="359">
                  <c:v>1.0457272799366757</c:v>
                </c:pt>
                <c:pt idx="360">
                  <c:v>1.0546216701704816</c:v>
                </c:pt>
                <c:pt idx="361">
                  <c:v>1.0437745217891812</c:v>
                </c:pt>
                <c:pt idx="362">
                  <c:v>1.0519729915349916</c:v>
                </c:pt>
                <c:pt idx="363">
                  <c:v>1.0420260460833173</c:v>
                </c:pt>
                <c:pt idx="364">
                  <c:v>1.0494939140228019</c:v>
                </c:pt>
                <c:pt idx="365">
                  <c:v>1.0404824985469794</c:v>
                </c:pt>
                <c:pt idx="366">
                  <c:v>1.0472017570309167</c:v>
                </c:pt>
                <c:pt idx="367">
                  <c:v>1.0391549528235884</c:v>
                </c:pt>
                <c:pt idx="368">
                  <c:v>1.0451040818266686</c:v>
                </c:pt>
                <c:pt idx="369">
                  <c:v>1.0380475317997515</c:v>
                </c:pt>
                <c:pt idx="370">
                  <c:v>1.0432136511735199</c:v>
                </c:pt>
                <c:pt idx="371">
                  <c:v>1.037166164340404</c:v>
                </c:pt>
                <c:pt idx="372">
                  <c:v>1.0415292377916807</c:v>
                </c:pt>
                <c:pt idx="373">
                  <c:v>1.0365095312245636</c:v>
                </c:pt>
                <c:pt idx="374">
                  <c:v>1.0400560911635717</c:v>
                </c:pt>
                <c:pt idx="375">
                  <c:v>1.0360796135059631</c:v>
                </c:pt>
                <c:pt idx="376">
                  <c:v>1.0387988400677437</c:v>
                </c:pt>
                <c:pt idx="377">
                  <c:v>1.0358777330820272</c:v>
                </c:pt>
                <c:pt idx="378">
                  <c:v>1.0377613395834384</c:v>
                </c:pt>
                <c:pt idx="379">
                  <c:v>1.0359044734067846</c:v>
                </c:pt>
                <c:pt idx="380">
                  <c:v>1.0369467332631195</c:v>
                </c:pt>
                <c:pt idx="381">
                  <c:v>1.0361597417765882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18-4F17-8014-1D7EC9740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929647"/>
        <c:axId val="1198924367"/>
      </c:scatterChart>
      <c:valAx>
        <c:axId val="1198929647"/>
        <c:scaling>
          <c:orientation val="minMax"/>
          <c:max val="3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98924367"/>
        <c:crosses val="autoZero"/>
        <c:crossBetween val="midCat"/>
        <c:majorUnit val="90"/>
      </c:valAx>
      <c:valAx>
        <c:axId val="1198924367"/>
        <c:scaling>
          <c:orientation val="minMax"/>
          <c:max val="1.8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98929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gap of angle (mrad) F=17</a:t>
            </a:r>
          </a:p>
        </c:rich>
      </c:tx>
      <c:layout>
        <c:manualLayout>
          <c:xMode val="edge"/>
          <c:yMode val="edge"/>
          <c:x val="0.34313888888888888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pat_result!$C$1</c:f>
              <c:strCache>
                <c:ptCount val="1"/>
                <c:pt idx="0">
                  <c:v>F=17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pat_result!$B$2:$B$401</c:f>
              <c:numCache>
                <c:formatCode>General</c:formatCode>
                <c:ptCount val="400"/>
                <c:pt idx="0">
                  <c:v>6.2630000000000003E-3</c:v>
                </c:pt>
                <c:pt idx="1">
                  <c:v>6.2630000000000003E-3</c:v>
                </c:pt>
                <c:pt idx="2">
                  <c:v>1.8851629999999999</c:v>
                </c:pt>
                <c:pt idx="3">
                  <c:v>1.8851629999999999</c:v>
                </c:pt>
                <c:pt idx="4">
                  <c:v>3.7891150000000402</c:v>
                </c:pt>
                <c:pt idx="5">
                  <c:v>3.7891150000000402</c:v>
                </c:pt>
                <c:pt idx="6">
                  <c:v>5.6680149999999898</c:v>
                </c:pt>
                <c:pt idx="7">
                  <c:v>5.6680149999999898</c:v>
                </c:pt>
                <c:pt idx="8">
                  <c:v>7.5657039999999798</c:v>
                </c:pt>
                <c:pt idx="9">
                  <c:v>7.5657039999999798</c:v>
                </c:pt>
                <c:pt idx="10">
                  <c:v>9.4508670000001302</c:v>
                </c:pt>
                <c:pt idx="11">
                  <c:v>9.4508670000001302</c:v>
                </c:pt>
                <c:pt idx="12">
                  <c:v>11.329767000000301</c:v>
                </c:pt>
                <c:pt idx="13">
                  <c:v>11.329767000000301</c:v>
                </c:pt>
                <c:pt idx="14">
                  <c:v>13.208667000000499</c:v>
                </c:pt>
                <c:pt idx="15">
                  <c:v>13.208667000000499</c:v>
                </c:pt>
                <c:pt idx="16">
                  <c:v>15.1063560000007</c:v>
                </c:pt>
                <c:pt idx="17">
                  <c:v>15.1063560000007</c:v>
                </c:pt>
                <c:pt idx="18">
                  <c:v>16.9915190000008</c:v>
                </c:pt>
                <c:pt idx="19">
                  <c:v>16.9915190000008</c:v>
                </c:pt>
                <c:pt idx="20">
                  <c:v>18.920523000001001</c:v>
                </c:pt>
                <c:pt idx="21">
                  <c:v>18.920523000001001</c:v>
                </c:pt>
                <c:pt idx="22">
                  <c:v>20.830738000001201</c:v>
                </c:pt>
                <c:pt idx="23">
                  <c:v>20.830738000001201</c:v>
                </c:pt>
                <c:pt idx="24">
                  <c:v>22.7346900000014</c:v>
                </c:pt>
                <c:pt idx="25">
                  <c:v>22.7346900000014</c:v>
                </c:pt>
                <c:pt idx="26">
                  <c:v>24.632379000001698</c:v>
                </c:pt>
                <c:pt idx="27">
                  <c:v>24.632379000001698</c:v>
                </c:pt>
                <c:pt idx="28">
                  <c:v>26.530068000001901</c:v>
                </c:pt>
                <c:pt idx="29">
                  <c:v>26.530068000001901</c:v>
                </c:pt>
                <c:pt idx="30">
                  <c:v>28.408968000002201</c:v>
                </c:pt>
                <c:pt idx="31">
                  <c:v>28.408968000002201</c:v>
                </c:pt>
                <c:pt idx="32">
                  <c:v>30.3003940000022</c:v>
                </c:pt>
                <c:pt idx="33">
                  <c:v>30.3003940000022</c:v>
                </c:pt>
                <c:pt idx="34">
                  <c:v>32.191820000002203</c:v>
                </c:pt>
                <c:pt idx="35">
                  <c:v>32.191820000002203</c:v>
                </c:pt>
                <c:pt idx="36">
                  <c:v>34.083246000001303</c:v>
                </c:pt>
                <c:pt idx="37">
                  <c:v>34.083246000001303</c:v>
                </c:pt>
                <c:pt idx="38">
                  <c:v>35.962146000000502</c:v>
                </c:pt>
                <c:pt idx="39">
                  <c:v>35.962146000000502</c:v>
                </c:pt>
                <c:pt idx="40">
                  <c:v>37.8410459999997</c:v>
                </c:pt>
                <c:pt idx="41">
                  <c:v>37.8410459999997</c:v>
                </c:pt>
                <c:pt idx="42">
                  <c:v>39.7324719999989</c:v>
                </c:pt>
                <c:pt idx="43">
                  <c:v>39.7324719999989</c:v>
                </c:pt>
                <c:pt idx="44">
                  <c:v>41.623897999998</c:v>
                </c:pt>
                <c:pt idx="45">
                  <c:v>41.623897999998</c:v>
                </c:pt>
                <c:pt idx="46">
                  <c:v>43.5153239999972</c:v>
                </c:pt>
                <c:pt idx="47">
                  <c:v>43.5153239999972</c:v>
                </c:pt>
                <c:pt idx="48">
                  <c:v>45.394223999996399</c:v>
                </c:pt>
                <c:pt idx="49">
                  <c:v>45.394223999996399</c:v>
                </c:pt>
                <c:pt idx="50">
                  <c:v>47.285649999995499</c:v>
                </c:pt>
                <c:pt idx="51">
                  <c:v>47.285649999995499</c:v>
                </c:pt>
                <c:pt idx="52">
                  <c:v>49.164549999994698</c:v>
                </c:pt>
                <c:pt idx="53">
                  <c:v>49.164549999994698</c:v>
                </c:pt>
                <c:pt idx="54">
                  <c:v>51.062238999993902</c:v>
                </c:pt>
                <c:pt idx="55">
                  <c:v>51.062238999993902</c:v>
                </c:pt>
                <c:pt idx="56">
                  <c:v>52.9411389999931</c:v>
                </c:pt>
                <c:pt idx="57">
                  <c:v>52.9411389999931</c:v>
                </c:pt>
                <c:pt idx="58">
                  <c:v>54.832564999992201</c:v>
                </c:pt>
                <c:pt idx="59">
                  <c:v>54.832564999992201</c:v>
                </c:pt>
                <c:pt idx="60">
                  <c:v>56.717727999991403</c:v>
                </c:pt>
                <c:pt idx="61">
                  <c:v>56.717727999991403</c:v>
                </c:pt>
                <c:pt idx="62">
                  <c:v>58.596627999990403</c:v>
                </c:pt>
                <c:pt idx="63">
                  <c:v>58.596627999990403</c:v>
                </c:pt>
                <c:pt idx="64">
                  <c:v>60.494316999989202</c:v>
                </c:pt>
                <c:pt idx="65">
                  <c:v>60.494316999989202</c:v>
                </c:pt>
                <c:pt idx="66">
                  <c:v>62.373216999988102</c:v>
                </c:pt>
                <c:pt idx="67">
                  <c:v>62.373216999988102</c:v>
                </c:pt>
                <c:pt idx="68">
                  <c:v>64.264642999987402</c:v>
                </c:pt>
                <c:pt idx="69">
                  <c:v>64.264642999987402</c:v>
                </c:pt>
                <c:pt idx="70">
                  <c:v>66.149805999988899</c:v>
                </c:pt>
                <c:pt idx="71">
                  <c:v>66.149805999988899</c:v>
                </c:pt>
                <c:pt idx="72">
                  <c:v>68.041231999990302</c:v>
                </c:pt>
                <c:pt idx="73">
                  <c:v>68.041231999990302</c:v>
                </c:pt>
                <c:pt idx="74">
                  <c:v>69.932657999992003</c:v>
                </c:pt>
                <c:pt idx="75">
                  <c:v>69.932657999992003</c:v>
                </c:pt>
                <c:pt idx="76">
                  <c:v>71.811557999993795</c:v>
                </c:pt>
                <c:pt idx="77">
                  <c:v>71.811557999993795</c:v>
                </c:pt>
                <c:pt idx="78">
                  <c:v>73.690457999995601</c:v>
                </c:pt>
                <c:pt idx="79">
                  <c:v>73.690457999995601</c:v>
                </c:pt>
                <c:pt idx="80">
                  <c:v>75.588146999997505</c:v>
                </c:pt>
                <c:pt idx="81">
                  <c:v>75.588146999997505</c:v>
                </c:pt>
                <c:pt idx="82">
                  <c:v>77.467046999999297</c:v>
                </c:pt>
                <c:pt idx="83">
                  <c:v>77.467046999999297</c:v>
                </c:pt>
                <c:pt idx="84">
                  <c:v>79.358473000001098</c:v>
                </c:pt>
                <c:pt idx="85">
                  <c:v>79.358473000001098</c:v>
                </c:pt>
                <c:pt idx="86">
                  <c:v>81.249899000002998</c:v>
                </c:pt>
                <c:pt idx="87">
                  <c:v>81.249899000002998</c:v>
                </c:pt>
                <c:pt idx="88">
                  <c:v>83.141325000004798</c:v>
                </c:pt>
                <c:pt idx="89">
                  <c:v>83.141325000004798</c:v>
                </c:pt>
                <c:pt idx="90">
                  <c:v>85.020225000006704</c:v>
                </c:pt>
                <c:pt idx="91">
                  <c:v>85.020225000006704</c:v>
                </c:pt>
                <c:pt idx="92">
                  <c:v>86.899125000008496</c:v>
                </c:pt>
                <c:pt idx="93">
                  <c:v>86.899125000008496</c:v>
                </c:pt>
                <c:pt idx="94">
                  <c:v>88.790551000010296</c:v>
                </c:pt>
                <c:pt idx="95">
                  <c:v>88.790551000010296</c:v>
                </c:pt>
                <c:pt idx="96">
                  <c:v>90.681977000012196</c:v>
                </c:pt>
                <c:pt idx="97">
                  <c:v>90.681977000012196</c:v>
                </c:pt>
                <c:pt idx="98">
                  <c:v>92.573403000014096</c:v>
                </c:pt>
                <c:pt idx="99">
                  <c:v>92.573403000014096</c:v>
                </c:pt>
                <c:pt idx="100">
                  <c:v>94.452303000016002</c:v>
                </c:pt>
                <c:pt idx="101">
                  <c:v>94.452303000016002</c:v>
                </c:pt>
                <c:pt idx="102">
                  <c:v>96.331203000017993</c:v>
                </c:pt>
                <c:pt idx="103">
                  <c:v>96.331203000017993</c:v>
                </c:pt>
                <c:pt idx="104">
                  <c:v>98.228892000019997</c:v>
                </c:pt>
                <c:pt idx="105">
                  <c:v>98.228892000019997</c:v>
                </c:pt>
                <c:pt idx="106">
                  <c:v>100.120318000022</c:v>
                </c:pt>
                <c:pt idx="107">
                  <c:v>100.120318000022</c:v>
                </c:pt>
                <c:pt idx="108">
                  <c:v>101.999218000024</c:v>
                </c:pt>
                <c:pt idx="109">
                  <c:v>101.999218000024</c:v>
                </c:pt>
                <c:pt idx="110">
                  <c:v>103.87811800002601</c:v>
                </c:pt>
                <c:pt idx="111">
                  <c:v>103.87811800002601</c:v>
                </c:pt>
                <c:pt idx="112">
                  <c:v>105.757018000028</c:v>
                </c:pt>
                <c:pt idx="113">
                  <c:v>105.757018000028</c:v>
                </c:pt>
                <c:pt idx="114">
                  <c:v>107.65470700003</c:v>
                </c:pt>
                <c:pt idx="115">
                  <c:v>107.65470700003</c:v>
                </c:pt>
                <c:pt idx="116">
                  <c:v>109.546133000032</c:v>
                </c:pt>
                <c:pt idx="117">
                  <c:v>109.546133000032</c:v>
                </c:pt>
                <c:pt idx="118">
                  <c:v>111.437559000034</c:v>
                </c:pt>
                <c:pt idx="119">
                  <c:v>111.437559000034</c:v>
                </c:pt>
                <c:pt idx="120">
                  <c:v>113.328985000036</c:v>
                </c:pt>
                <c:pt idx="121">
                  <c:v>113.328985000036</c:v>
                </c:pt>
                <c:pt idx="122">
                  <c:v>115.207885000038</c:v>
                </c:pt>
                <c:pt idx="123">
                  <c:v>115.207885000038</c:v>
                </c:pt>
                <c:pt idx="124">
                  <c:v>117.086785000039</c:v>
                </c:pt>
                <c:pt idx="125">
                  <c:v>117.086785000039</c:v>
                </c:pt>
                <c:pt idx="126">
                  <c:v>118.96568500004101</c:v>
                </c:pt>
                <c:pt idx="127">
                  <c:v>118.96568500004101</c:v>
                </c:pt>
                <c:pt idx="128">
                  <c:v>120.850848000043</c:v>
                </c:pt>
                <c:pt idx="129">
                  <c:v>120.850848000043</c:v>
                </c:pt>
                <c:pt idx="130">
                  <c:v>122.748537000045</c:v>
                </c:pt>
                <c:pt idx="131">
                  <c:v>122.748537000045</c:v>
                </c:pt>
                <c:pt idx="132">
                  <c:v>124.639963000047</c:v>
                </c:pt>
                <c:pt idx="133">
                  <c:v>124.639963000047</c:v>
                </c:pt>
                <c:pt idx="134">
                  <c:v>126.531389000049</c:v>
                </c:pt>
                <c:pt idx="135">
                  <c:v>126.531389000049</c:v>
                </c:pt>
                <c:pt idx="136">
                  <c:v>128.42281500005001</c:v>
                </c:pt>
                <c:pt idx="137">
                  <c:v>128.42281500005001</c:v>
                </c:pt>
                <c:pt idx="138">
                  <c:v>130.31424100004801</c:v>
                </c:pt>
                <c:pt idx="139">
                  <c:v>130.31424100004801</c:v>
                </c:pt>
                <c:pt idx="140">
                  <c:v>132.205667000045</c:v>
                </c:pt>
                <c:pt idx="141">
                  <c:v>132.205667000045</c:v>
                </c:pt>
                <c:pt idx="142">
                  <c:v>134.09083000004301</c:v>
                </c:pt>
                <c:pt idx="143">
                  <c:v>134.09083000004301</c:v>
                </c:pt>
                <c:pt idx="144">
                  <c:v>135.96973000003999</c:v>
                </c:pt>
                <c:pt idx="145">
                  <c:v>135.96973000003999</c:v>
                </c:pt>
                <c:pt idx="146">
                  <c:v>137.86115600003799</c:v>
                </c:pt>
                <c:pt idx="147">
                  <c:v>137.86115600003799</c:v>
                </c:pt>
                <c:pt idx="148">
                  <c:v>139.752582000036</c:v>
                </c:pt>
                <c:pt idx="149">
                  <c:v>139.752582000036</c:v>
                </c:pt>
                <c:pt idx="150">
                  <c:v>141.64400800003301</c:v>
                </c:pt>
                <c:pt idx="151">
                  <c:v>141.64400800003301</c:v>
                </c:pt>
                <c:pt idx="152">
                  <c:v>143.529171000031</c:v>
                </c:pt>
                <c:pt idx="153">
                  <c:v>143.529171000031</c:v>
                </c:pt>
                <c:pt idx="154">
                  <c:v>145.42059700002801</c:v>
                </c:pt>
                <c:pt idx="155">
                  <c:v>145.42059700002801</c:v>
                </c:pt>
                <c:pt idx="156">
                  <c:v>147.305760000026</c:v>
                </c:pt>
                <c:pt idx="157">
                  <c:v>147.305760000026</c:v>
                </c:pt>
                <c:pt idx="158">
                  <c:v>149.184660000024</c:v>
                </c:pt>
                <c:pt idx="159">
                  <c:v>149.184660000024</c:v>
                </c:pt>
                <c:pt idx="160">
                  <c:v>151.07608600002101</c:v>
                </c:pt>
                <c:pt idx="161">
                  <c:v>151.07608600002101</c:v>
                </c:pt>
                <c:pt idx="162">
                  <c:v>152.95498600001901</c:v>
                </c:pt>
                <c:pt idx="163">
                  <c:v>152.95498600001901</c:v>
                </c:pt>
                <c:pt idx="164">
                  <c:v>154.84641200001599</c:v>
                </c:pt>
                <c:pt idx="165">
                  <c:v>154.84641200001599</c:v>
                </c:pt>
                <c:pt idx="166">
                  <c:v>156.72531200001399</c:v>
                </c:pt>
                <c:pt idx="167">
                  <c:v>156.72531200001399</c:v>
                </c:pt>
                <c:pt idx="168">
                  <c:v>158.60421200001099</c:v>
                </c:pt>
                <c:pt idx="169">
                  <c:v>158.60421200001099</c:v>
                </c:pt>
                <c:pt idx="170">
                  <c:v>160.48311200000899</c:v>
                </c:pt>
                <c:pt idx="171">
                  <c:v>160.48311200000899</c:v>
                </c:pt>
                <c:pt idx="172">
                  <c:v>162.37453800000699</c:v>
                </c:pt>
                <c:pt idx="173">
                  <c:v>162.37453800000699</c:v>
                </c:pt>
                <c:pt idx="174">
                  <c:v>164.265964000004</c:v>
                </c:pt>
                <c:pt idx="175">
                  <c:v>164.265964000004</c:v>
                </c:pt>
                <c:pt idx="176">
                  <c:v>166.144864000002</c:v>
                </c:pt>
                <c:pt idx="177">
                  <c:v>166.144864000002</c:v>
                </c:pt>
                <c:pt idx="178">
                  <c:v>168.03628999999901</c:v>
                </c:pt>
                <c:pt idx="179">
                  <c:v>168.03628999999901</c:v>
                </c:pt>
                <c:pt idx="180">
                  <c:v>169.92771599999699</c:v>
                </c:pt>
                <c:pt idx="181">
                  <c:v>169.92771599999699</c:v>
                </c:pt>
                <c:pt idx="182">
                  <c:v>171.80661599999399</c:v>
                </c:pt>
                <c:pt idx="183">
                  <c:v>171.80661599999399</c:v>
                </c:pt>
                <c:pt idx="184">
                  <c:v>173.698041999992</c:v>
                </c:pt>
                <c:pt idx="185">
                  <c:v>173.698041999992</c:v>
                </c:pt>
                <c:pt idx="186">
                  <c:v>175.58946799999001</c:v>
                </c:pt>
                <c:pt idx="187">
                  <c:v>175.58946799999001</c:v>
                </c:pt>
                <c:pt idx="188">
                  <c:v>177.48089399998699</c:v>
                </c:pt>
                <c:pt idx="189">
                  <c:v>177.48089399998699</c:v>
                </c:pt>
                <c:pt idx="190">
                  <c:v>179.36605699998501</c:v>
                </c:pt>
                <c:pt idx="191">
                  <c:v>179.36605699998501</c:v>
                </c:pt>
                <c:pt idx="192">
                  <c:v>181.25748299998199</c:v>
                </c:pt>
                <c:pt idx="193">
                  <c:v>181.25748299998199</c:v>
                </c:pt>
                <c:pt idx="194">
                  <c:v>183.14890899997999</c:v>
                </c:pt>
                <c:pt idx="195">
                  <c:v>183.14890899997999</c:v>
                </c:pt>
                <c:pt idx="196">
                  <c:v>185.03407199997699</c:v>
                </c:pt>
                <c:pt idx="197">
                  <c:v>185.03407199997699</c:v>
                </c:pt>
                <c:pt idx="198">
                  <c:v>186.92549799997499</c:v>
                </c:pt>
                <c:pt idx="199">
                  <c:v>186.92549799997499</c:v>
                </c:pt>
                <c:pt idx="200">
                  <c:v>188.81066099997301</c:v>
                </c:pt>
                <c:pt idx="201">
                  <c:v>188.81066099997301</c:v>
                </c:pt>
                <c:pt idx="202">
                  <c:v>190.69582399997</c:v>
                </c:pt>
                <c:pt idx="203">
                  <c:v>190.69582399997</c:v>
                </c:pt>
                <c:pt idx="204">
                  <c:v>192.574723999968</c:v>
                </c:pt>
                <c:pt idx="205">
                  <c:v>192.574723999968</c:v>
                </c:pt>
                <c:pt idx="206">
                  <c:v>194.45988699996499</c:v>
                </c:pt>
                <c:pt idx="207">
                  <c:v>194.45988699996499</c:v>
                </c:pt>
                <c:pt idx="208">
                  <c:v>196.33878699996299</c:v>
                </c:pt>
                <c:pt idx="209">
                  <c:v>196.33878699996299</c:v>
                </c:pt>
                <c:pt idx="210">
                  <c:v>198.23021299996</c:v>
                </c:pt>
                <c:pt idx="211">
                  <c:v>198.23021299996</c:v>
                </c:pt>
                <c:pt idx="212">
                  <c:v>200.11537599995799</c:v>
                </c:pt>
                <c:pt idx="213">
                  <c:v>200.11537599995799</c:v>
                </c:pt>
                <c:pt idx="214">
                  <c:v>202.006801999956</c:v>
                </c:pt>
                <c:pt idx="215">
                  <c:v>202.006801999956</c:v>
                </c:pt>
                <c:pt idx="216">
                  <c:v>203.89822799995301</c:v>
                </c:pt>
                <c:pt idx="217">
                  <c:v>203.89822799995301</c:v>
                </c:pt>
                <c:pt idx="218">
                  <c:v>205.783390999951</c:v>
                </c:pt>
                <c:pt idx="219">
                  <c:v>205.783390999951</c:v>
                </c:pt>
                <c:pt idx="220">
                  <c:v>207.66855399994799</c:v>
                </c:pt>
                <c:pt idx="221">
                  <c:v>207.66855399994799</c:v>
                </c:pt>
                <c:pt idx="222">
                  <c:v>209.553716999946</c:v>
                </c:pt>
                <c:pt idx="223">
                  <c:v>209.553716999946</c:v>
                </c:pt>
                <c:pt idx="224">
                  <c:v>211.438879999943</c:v>
                </c:pt>
                <c:pt idx="225">
                  <c:v>211.438879999943</c:v>
                </c:pt>
                <c:pt idx="226">
                  <c:v>213.32404299994101</c:v>
                </c:pt>
                <c:pt idx="227">
                  <c:v>213.32404299994101</c:v>
                </c:pt>
                <c:pt idx="228">
                  <c:v>215.20294299993901</c:v>
                </c:pt>
                <c:pt idx="229">
                  <c:v>215.20294299993901</c:v>
                </c:pt>
                <c:pt idx="230">
                  <c:v>217.09436899993599</c:v>
                </c:pt>
                <c:pt idx="231">
                  <c:v>217.09436899993599</c:v>
                </c:pt>
                <c:pt idx="232">
                  <c:v>218.985794999934</c:v>
                </c:pt>
                <c:pt idx="233">
                  <c:v>218.985794999934</c:v>
                </c:pt>
                <c:pt idx="234">
                  <c:v>220.87095799993099</c:v>
                </c:pt>
                <c:pt idx="235">
                  <c:v>220.87095799993099</c:v>
                </c:pt>
                <c:pt idx="236">
                  <c:v>222.75612099992901</c:v>
                </c:pt>
                <c:pt idx="237">
                  <c:v>222.75612099992901</c:v>
                </c:pt>
                <c:pt idx="238">
                  <c:v>224.641283999926</c:v>
                </c:pt>
                <c:pt idx="239">
                  <c:v>224.641283999926</c:v>
                </c:pt>
                <c:pt idx="240">
                  <c:v>226.53270999992401</c:v>
                </c:pt>
                <c:pt idx="241">
                  <c:v>226.53270999992401</c:v>
                </c:pt>
                <c:pt idx="242">
                  <c:v>228.42413599992199</c:v>
                </c:pt>
                <c:pt idx="243">
                  <c:v>228.42413599992199</c:v>
                </c:pt>
                <c:pt idx="244">
                  <c:v>230.30929899992199</c:v>
                </c:pt>
                <c:pt idx="245">
                  <c:v>230.30929899992199</c:v>
                </c:pt>
                <c:pt idx="246">
                  <c:v>232.19446199992299</c:v>
                </c:pt>
                <c:pt idx="247">
                  <c:v>232.19446199992299</c:v>
                </c:pt>
                <c:pt idx="248">
                  <c:v>234.073361999925</c:v>
                </c:pt>
                <c:pt idx="249">
                  <c:v>234.073361999925</c:v>
                </c:pt>
                <c:pt idx="250">
                  <c:v>235.96478799992701</c:v>
                </c:pt>
                <c:pt idx="251">
                  <c:v>235.96478799992701</c:v>
                </c:pt>
                <c:pt idx="252">
                  <c:v>237.84368799992899</c:v>
                </c:pt>
                <c:pt idx="253">
                  <c:v>237.84368799992899</c:v>
                </c:pt>
                <c:pt idx="254">
                  <c:v>239.72885099993101</c:v>
                </c:pt>
                <c:pt idx="255">
                  <c:v>239.72885099993101</c:v>
                </c:pt>
                <c:pt idx="256">
                  <c:v>241.60775099993299</c:v>
                </c:pt>
                <c:pt idx="257">
                  <c:v>241.60775099993299</c:v>
                </c:pt>
                <c:pt idx="258">
                  <c:v>243.486650999934</c:v>
                </c:pt>
                <c:pt idx="259">
                  <c:v>243.486650999934</c:v>
                </c:pt>
                <c:pt idx="260">
                  <c:v>245.37807699993601</c:v>
                </c:pt>
                <c:pt idx="261">
                  <c:v>245.37807699993601</c:v>
                </c:pt>
                <c:pt idx="262">
                  <c:v>247.269502999938</c:v>
                </c:pt>
                <c:pt idx="263">
                  <c:v>247.269502999938</c:v>
                </c:pt>
                <c:pt idx="264">
                  <c:v>249.15466599993999</c:v>
                </c:pt>
                <c:pt idx="265">
                  <c:v>249.15466599993999</c:v>
                </c:pt>
                <c:pt idx="266">
                  <c:v>251.03982899994199</c:v>
                </c:pt>
                <c:pt idx="267">
                  <c:v>251.03982899994199</c:v>
                </c:pt>
                <c:pt idx="268">
                  <c:v>252.931254999944</c:v>
                </c:pt>
                <c:pt idx="269">
                  <c:v>252.931254999944</c:v>
                </c:pt>
                <c:pt idx="270">
                  <c:v>254.82268099994499</c:v>
                </c:pt>
                <c:pt idx="271">
                  <c:v>254.82268099994499</c:v>
                </c:pt>
                <c:pt idx="272">
                  <c:v>256.71410699994601</c:v>
                </c:pt>
                <c:pt idx="273">
                  <c:v>256.71410699994601</c:v>
                </c:pt>
                <c:pt idx="274">
                  <c:v>258.59926999994298</c:v>
                </c:pt>
                <c:pt idx="275">
                  <c:v>258.59926999994298</c:v>
                </c:pt>
                <c:pt idx="276">
                  <c:v>260.49069599994101</c:v>
                </c:pt>
                <c:pt idx="277">
                  <c:v>260.49069599994101</c:v>
                </c:pt>
                <c:pt idx="278">
                  <c:v>262.38212199993802</c:v>
                </c:pt>
                <c:pt idx="279">
                  <c:v>262.38212199993802</c:v>
                </c:pt>
                <c:pt idx="280">
                  <c:v>264.273547999936</c:v>
                </c:pt>
                <c:pt idx="281">
                  <c:v>264.273547999936</c:v>
                </c:pt>
                <c:pt idx="282">
                  <c:v>266.15871099993302</c:v>
                </c:pt>
                <c:pt idx="283">
                  <c:v>266.15871099993302</c:v>
                </c:pt>
                <c:pt idx="284">
                  <c:v>268.04387399993101</c:v>
                </c:pt>
                <c:pt idx="285">
                  <c:v>268.04387399993101</c:v>
                </c:pt>
                <c:pt idx="286">
                  <c:v>269.929036999929</c:v>
                </c:pt>
                <c:pt idx="287">
                  <c:v>269.929036999929</c:v>
                </c:pt>
                <c:pt idx="288">
                  <c:v>271.81419999992602</c:v>
                </c:pt>
                <c:pt idx="289">
                  <c:v>271.81419999992602</c:v>
                </c:pt>
                <c:pt idx="290">
                  <c:v>273.705625999924</c:v>
                </c:pt>
                <c:pt idx="291">
                  <c:v>273.705625999924</c:v>
                </c:pt>
                <c:pt idx="292">
                  <c:v>275.59078899992102</c:v>
                </c:pt>
                <c:pt idx="293">
                  <c:v>275.59078899992102</c:v>
                </c:pt>
                <c:pt idx="294">
                  <c:v>277.475951999919</c:v>
                </c:pt>
                <c:pt idx="295">
                  <c:v>277.475951999919</c:v>
                </c:pt>
                <c:pt idx="296">
                  <c:v>279.36111499991603</c:v>
                </c:pt>
                <c:pt idx="297">
                  <c:v>279.36111499991603</c:v>
                </c:pt>
                <c:pt idx="298">
                  <c:v>281.24627799991401</c:v>
                </c:pt>
                <c:pt idx="299">
                  <c:v>281.24627799991401</c:v>
                </c:pt>
                <c:pt idx="300">
                  <c:v>283.13770399991199</c:v>
                </c:pt>
                <c:pt idx="301">
                  <c:v>283.13770399991199</c:v>
                </c:pt>
                <c:pt idx="302">
                  <c:v>285.01660399990902</c:v>
                </c:pt>
                <c:pt idx="303">
                  <c:v>285.01660399990902</c:v>
                </c:pt>
                <c:pt idx="304">
                  <c:v>286.908029999907</c:v>
                </c:pt>
                <c:pt idx="305">
                  <c:v>286.908029999907</c:v>
                </c:pt>
                <c:pt idx="306">
                  <c:v>288.79319299990402</c:v>
                </c:pt>
                <c:pt idx="307">
                  <c:v>288.79319299990402</c:v>
                </c:pt>
                <c:pt idx="308">
                  <c:v>290.67835599990201</c:v>
                </c:pt>
                <c:pt idx="309">
                  <c:v>290.67835599990201</c:v>
                </c:pt>
                <c:pt idx="310">
                  <c:v>292.55725599990001</c:v>
                </c:pt>
                <c:pt idx="311">
                  <c:v>292.55725599990001</c:v>
                </c:pt>
                <c:pt idx="312">
                  <c:v>294.44868199989702</c:v>
                </c:pt>
                <c:pt idx="313">
                  <c:v>294.44868199989702</c:v>
                </c:pt>
                <c:pt idx="314">
                  <c:v>296.33384499989501</c:v>
                </c:pt>
                <c:pt idx="315">
                  <c:v>296.33384499989501</c:v>
                </c:pt>
                <c:pt idx="316">
                  <c:v>298.21900799989203</c:v>
                </c:pt>
                <c:pt idx="317">
                  <c:v>298.21900799989203</c:v>
                </c:pt>
                <c:pt idx="318">
                  <c:v>300.10417099989002</c:v>
                </c:pt>
                <c:pt idx="319">
                  <c:v>300.10417099989002</c:v>
                </c:pt>
                <c:pt idx="320">
                  <c:v>301.99559699988703</c:v>
                </c:pt>
                <c:pt idx="321">
                  <c:v>301.99559699988703</c:v>
                </c:pt>
                <c:pt idx="322">
                  <c:v>303.887022999885</c:v>
                </c:pt>
                <c:pt idx="323">
                  <c:v>303.887022999885</c:v>
                </c:pt>
                <c:pt idx="324">
                  <c:v>305.77844899988298</c:v>
                </c:pt>
                <c:pt idx="325">
                  <c:v>305.77844899988298</c:v>
                </c:pt>
                <c:pt idx="326">
                  <c:v>307.66987499987999</c:v>
                </c:pt>
                <c:pt idx="327">
                  <c:v>307.66987499987999</c:v>
                </c:pt>
                <c:pt idx="328">
                  <c:v>309.55503799987798</c:v>
                </c:pt>
                <c:pt idx="329">
                  <c:v>309.55503799987798</c:v>
                </c:pt>
                <c:pt idx="330">
                  <c:v>311.440200999875</c:v>
                </c:pt>
                <c:pt idx="331">
                  <c:v>311.440200999875</c:v>
                </c:pt>
                <c:pt idx="332">
                  <c:v>313.32536399987299</c:v>
                </c:pt>
                <c:pt idx="333">
                  <c:v>313.32536399987299</c:v>
                </c:pt>
                <c:pt idx="334">
                  <c:v>315.21052699987001</c:v>
                </c:pt>
                <c:pt idx="335">
                  <c:v>315.21052699987001</c:v>
                </c:pt>
                <c:pt idx="336">
                  <c:v>317.10195299986799</c:v>
                </c:pt>
                <c:pt idx="337">
                  <c:v>317.10195299986799</c:v>
                </c:pt>
                <c:pt idx="338">
                  <c:v>318.98711599986598</c:v>
                </c:pt>
                <c:pt idx="339">
                  <c:v>318.98711599986598</c:v>
                </c:pt>
                <c:pt idx="340">
                  <c:v>320.872278999863</c:v>
                </c:pt>
                <c:pt idx="341">
                  <c:v>320.872278999863</c:v>
                </c:pt>
                <c:pt idx="342">
                  <c:v>322.75744199986099</c:v>
                </c:pt>
                <c:pt idx="343">
                  <c:v>322.75744199986099</c:v>
                </c:pt>
                <c:pt idx="344">
                  <c:v>324.64260499985801</c:v>
                </c:pt>
                <c:pt idx="345">
                  <c:v>324.64260499985801</c:v>
                </c:pt>
                <c:pt idx="346">
                  <c:v>326.527767999856</c:v>
                </c:pt>
                <c:pt idx="347">
                  <c:v>326.527767999856</c:v>
                </c:pt>
                <c:pt idx="348">
                  <c:v>328.41919399985301</c:v>
                </c:pt>
                <c:pt idx="349">
                  <c:v>328.41919399985301</c:v>
                </c:pt>
                <c:pt idx="350">
                  <c:v>330.31061999985099</c:v>
                </c:pt>
                <c:pt idx="351">
                  <c:v>330.31061999985099</c:v>
                </c:pt>
                <c:pt idx="352">
                  <c:v>332.20204599984902</c:v>
                </c:pt>
                <c:pt idx="353">
                  <c:v>332.20204599984902</c:v>
                </c:pt>
                <c:pt idx="354">
                  <c:v>334.09347199984597</c:v>
                </c:pt>
                <c:pt idx="355">
                  <c:v>334.09347199984597</c:v>
                </c:pt>
                <c:pt idx="356">
                  <c:v>335.97863499984402</c:v>
                </c:pt>
                <c:pt idx="357">
                  <c:v>335.97863499984402</c:v>
                </c:pt>
                <c:pt idx="358">
                  <c:v>337.86379799984098</c:v>
                </c:pt>
                <c:pt idx="359">
                  <c:v>337.86379799984098</c:v>
                </c:pt>
                <c:pt idx="360">
                  <c:v>339.74896099983903</c:v>
                </c:pt>
                <c:pt idx="361">
                  <c:v>339.74896099983903</c:v>
                </c:pt>
                <c:pt idx="362">
                  <c:v>341.63412399983599</c:v>
                </c:pt>
                <c:pt idx="363">
                  <c:v>341.63412399983599</c:v>
                </c:pt>
                <c:pt idx="364">
                  <c:v>343.52554999983403</c:v>
                </c:pt>
                <c:pt idx="365">
                  <c:v>343.52554999983403</c:v>
                </c:pt>
                <c:pt idx="366">
                  <c:v>345.416975999832</c:v>
                </c:pt>
                <c:pt idx="367">
                  <c:v>345.416975999832</c:v>
                </c:pt>
                <c:pt idx="368">
                  <c:v>347.30840199982902</c:v>
                </c:pt>
                <c:pt idx="369">
                  <c:v>347.30840199982902</c:v>
                </c:pt>
                <c:pt idx="370">
                  <c:v>349.193564999827</c:v>
                </c:pt>
                <c:pt idx="371">
                  <c:v>349.193564999827</c:v>
                </c:pt>
                <c:pt idx="372">
                  <c:v>351.07872799982403</c:v>
                </c:pt>
                <c:pt idx="373">
                  <c:v>351.07872799982403</c:v>
                </c:pt>
                <c:pt idx="374">
                  <c:v>352.96389099982201</c:v>
                </c:pt>
                <c:pt idx="375">
                  <c:v>352.96389099982201</c:v>
                </c:pt>
                <c:pt idx="376">
                  <c:v>354.84905399981898</c:v>
                </c:pt>
                <c:pt idx="377">
                  <c:v>354.84905399981898</c:v>
                </c:pt>
                <c:pt idx="378">
                  <c:v>356.73421699981702</c:v>
                </c:pt>
                <c:pt idx="379">
                  <c:v>356.73421699981702</c:v>
                </c:pt>
                <c:pt idx="380">
                  <c:v>358.61937999981501</c:v>
                </c:pt>
                <c:pt idx="381">
                  <c:v>358.61937999981501</c:v>
                </c:pt>
              </c:numCache>
            </c:numRef>
          </c:xVal>
          <c:yVal>
            <c:numRef>
              <c:f>pat_result!$C$2:$C$401</c:f>
              <c:numCache>
                <c:formatCode>0.000000000_);[Red]\(0.000000000\)</c:formatCode>
                <c:ptCount val="400"/>
                <c:pt idx="0">
                  <c:v>0.94524748808722792</c:v>
                </c:pt>
                <c:pt idx="1">
                  <c:v>0.94524923813766293</c:v>
                </c:pt>
                <c:pt idx="2">
                  <c:v>0.94497717797524594</c:v>
                </c:pt>
                <c:pt idx="3">
                  <c:v>0.94603444901559697</c:v>
                </c:pt>
                <c:pt idx="4">
                  <c:v>0.94522700403451099</c:v>
                </c:pt>
                <c:pt idx="5">
                  <c:v>0.94735275834575794</c:v>
                </c:pt>
                <c:pt idx="6">
                  <c:v>0.94599014629422007</c:v>
                </c:pt>
                <c:pt idx="7">
                  <c:v>0.949168048206669</c:v>
                </c:pt>
                <c:pt idx="8">
                  <c:v>0.94728102231726308</c:v>
                </c:pt>
                <c:pt idx="9">
                  <c:v>0.95151806762449498</c:v>
                </c:pt>
                <c:pt idx="10">
                  <c:v>0.94907952268458395</c:v>
                </c:pt>
                <c:pt idx="11">
                  <c:v>0.95436392135500703</c:v>
                </c:pt>
                <c:pt idx="12">
                  <c:v>0.95138190500238895</c:v>
                </c:pt>
                <c:pt idx="13">
                  <c:v>0.95770408736538903</c:v>
                </c:pt>
                <c:pt idx="14">
                  <c:v>0.95419071174256909</c:v>
                </c:pt>
                <c:pt idx="15">
                  <c:v>0.96154300925095504</c:v>
                </c:pt>
                <c:pt idx="16">
                  <c:v>0.95753826480066206</c:v>
                </c:pt>
                <c:pt idx="17">
                  <c:v>0.96592152144339105</c:v>
                </c:pt>
                <c:pt idx="18">
                  <c:v>0.961367744069618</c:v>
                </c:pt>
                <c:pt idx="19">
                  <c:v>0.97076386618997201</c:v>
                </c:pt>
                <c:pt idx="20">
                  <c:v>0.965801046094242</c:v>
                </c:pt>
                <c:pt idx="21">
                  <c:v>0.97621979995106301</c:v>
                </c:pt>
                <c:pt idx="22">
                  <c:v>0.97069805780903196</c:v>
                </c:pt>
                <c:pt idx="23">
                  <c:v>0.98211321998968393</c:v>
                </c:pt>
                <c:pt idx="24">
                  <c:v>0.97607360464304593</c:v>
                </c:pt>
                <c:pt idx="25">
                  <c:v>0.98846317906143399</c:v>
                </c:pt>
                <c:pt idx="26">
                  <c:v>0.98191438885026805</c:v>
                </c:pt>
                <c:pt idx="27">
                  <c:v>0.99525356523518005</c:v>
                </c:pt>
                <c:pt idx="28">
                  <c:v>0.98822744019359299</c:v>
                </c:pt>
                <c:pt idx="29">
                  <c:v>1.0024913652279299</c:v>
                </c:pt>
                <c:pt idx="30">
                  <c:v>0.99493217729819894</c:v>
                </c:pt>
                <c:pt idx="31">
                  <c:v>1.0100837495571</c:v>
                </c:pt>
                <c:pt idx="32">
                  <c:v>1.0021252372424398</c:v>
                </c:pt>
                <c:pt idx="33">
                  <c:v>1.01813835664629</c:v>
                </c:pt>
                <c:pt idx="34">
                  <c:v>1.0097488081775099</c:v>
                </c:pt>
                <c:pt idx="35">
                  <c:v>1.0265870991911301</c:v>
                </c:pt>
                <c:pt idx="36">
                  <c:v>1.0177861585964301</c:v>
                </c:pt>
                <c:pt idx="37">
                  <c:v>1.03540869521821</c:v>
                </c:pt>
                <c:pt idx="38">
                  <c:v>1.02616136599857</c:v>
                </c:pt>
                <c:pt idx="39">
                  <c:v>1.0445175228924302</c:v>
                </c:pt>
                <c:pt idx="40">
                  <c:v>1.03490564213202</c:v>
                </c:pt>
                <c:pt idx="41">
                  <c:v>1.0539448266853599</c:v>
                </c:pt>
                <c:pt idx="42">
                  <c:v>1.0440574174758799</c:v>
                </c:pt>
                <c:pt idx="43">
                  <c:v>1.0637276141807099</c:v>
                </c:pt>
                <c:pt idx="44">
                  <c:v>1.0535333102836899</c:v>
                </c:pt>
                <c:pt idx="45">
                  <c:v>1.07377178266325</c:v>
                </c:pt>
                <c:pt idx="46">
                  <c:v>1.0633041698582399</c:v>
                </c:pt>
                <c:pt idx="47">
                  <c:v>1.0840420362274301</c:v>
                </c:pt>
                <c:pt idx="48">
                  <c:v>1.07327066675121</c:v>
                </c:pt>
                <c:pt idx="49">
                  <c:v>1.0944300245869201</c:v>
                </c:pt>
                <c:pt idx="50">
                  <c:v>1.0835306388050301</c:v>
                </c:pt>
                <c:pt idx="51">
                  <c:v>1.10503279083827</c:v>
                </c:pt>
                <c:pt idx="52">
                  <c:v>1.0939103911584001</c:v>
                </c:pt>
                <c:pt idx="53">
                  <c:v>1.1156656323407799</c:v>
                </c:pt>
                <c:pt idx="54">
                  <c:v>1.1045422693134199</c:v>
                </c:pt>
                <c:pt idx="55">
                  <c:v>1.1264580192667</c:v>
                </c:pt>
                <c:pt idx="56">
                  <c:v>1.1151714549454199</c:v>
                </c:pt>
                <c:pt idx="57">
                  <c:v>1.1371457081288399</c:v>
                </c:pt>
                <c:pt idx="58">
                  <c:v>1.1259268693129501</c:v>
                </c:pt>
                <c:pt idx="59">
                  <c:v>1.1478528902019101</c:v>
                </c:pt>
                <c:pt idx="60">
                  <c:v>1.1366512583309301</c:v>
                </c:pt>
                <c:pt idx="61">
                  <c:v>1.15841676063994</c:v>
                </c:pt>
                <c:pt idx="62">
                  <c:v>1.14729142839881</c:v>
                </c:pt>
                <c:pt idx="63">
                  <c:v>1.16878004276013</c:v>
                </c:pt>
                <c:pt idx="64">
                  <c:v>1.15793218007217</c:v>
                </c:pt>
                <c:pt idx="65">
                  <c:v>1.17901823780259</c:v>
                </c:pt>
                <c:pt idx="66">
                  <c:v>1.16830443603713</c:v>
                </c:pt>
                <c:pt idx="67">
                  <c:v>1.1888667320314299</c:v>
                </c:pt>
                <c:pt idx="68">
                  <c:v>1.17852113933017</c:v>
                </c:pt>
                <c:pt idx="69">
                  <c:v>1.198427897705</c:v>
                </c:pt>
                <c:pt idx="70">
                  <c:v>1.18841769891331</c:v>
                </c:pt>
                <c:pt idx="71">
                  <c:v>1.20754167046043</c:v>
                </c:pt>
                <c:pt idx="72">
                  <c:v>1.1979965625786699</c:v>
                </c:pt>
                <c:pt idx="73">
                  <c:v>1.21620533718321</c:v>
                </c:pt>
                <c:pt idx="74">
                  <c:v>1.2071604790544199</c:v>
                </c:pt>
                <c:pt idx="75">
                  <c:v>1.2243255344286401</c:v>
                </c:pt>
                <c:pt idx="76">
                  <c:v>1.21579016230535</c:v>
                </c:pt>
                <c:pt idx="77">
                  <c:v>1.2317942498261401</c:v>
                </c:pt>
                <c:pt idx="78">
                  <c:v>1.2238865627023798</c:v>
                </c:pt>
                <c:pt idx="79">
                  <c:v>1.23861058522581</c:v>
                </c:pt>
                <c:pt idx="80">
                  <c:v>1.23146220916455</c:v>
                </c:pt>
                <c:pt idx="81">
                  <c:v>1.2447789342197901</c:v>
                </c:pt>
                <c:pt idx="82">
                  <c:v>1.2383099772099999</c:v>
                </c:pt>
                <c:pt idx="83">
                  <c:v>1.25012809464634</c:v>
                </c:pt>
                <c:pt idx="84">
                  <c:v>1.24449322465249</c:v>
                </c:pt>
                <c:pt idx="85">
                  <c:v>1.2547068762848801</c:v>
                </c:pt>
                <c:pt idx="86">
                  <c:v>1.24991426043224</c:v>
                </c:pt>
                <c:pt idx="87">
                  <c:v>1.2584384765693799</c:v>
                </c:pt>
                <c:pt idx="88">
                  <c:v>1.25452835464545</c:v>
                </c:pt>
                <c:pt idx="89">
                  <c:v>1.26129116585959</c:v>
                </c:pt>
                <c:pt idx="90">
                  <c:v>1.2582747694938199</c:v>
                </c:pt>
                <c:pt idx="91">
                  <c:v>1.2632304355721</c:v>
                </c:pt>
                <c:pt idx="92">
                  <c:v>1.2611552162151498</c:v>
                </c:pt>
                <c:pt idx="93">
                  <c:v>1.2642614286721601</c:v>
                </c:pt>
                <c:pt idx="94">
                  <c:v>1.2631554300597099</c:v>
                </c:pt>
                <c:pt idx="95">
                  <c:v>1.2643729412134401</c:v>
                </c:pt>
                <c:pt idx="96">
                  <c:v>1.2642359354484398</c:v>
                </c:pt>
                <c:pt idx="97">
                  <c:v>1.2635540666029599</c:v>
                </c:pt>
                <c:pt idx="98">
                  <c:v>1.26438722752566</c:v>
                </c:pt>
                <c:pt idx="99">
                  <c:v>1.2618119417064602</c:v>
                </c:pt>
                <c:pt idx="100">
                  <c:v>1.2636162208450801</c:v>
                </c:pt>
                <c:pt idx="101">
                  <c:v>1.25918227929511</c:v>
                </c:pt>
                <c:pt idx="102">
                  <c:v>1.26193357705553</c:v>
                </c:pt>
                <c:pt idx="103">
                  <c:v>1.2556789549146601</c:v>
                </c:pt>
                <c:pt idx="104">
                  <c:v>1.25932361694599</c:v>
                </c:pt>
                <c:pt idx="105">
                  <c:v>1.2512839389332602</c:v>
                </c:pt>
                <c:pt idx="106">
                  <c:v>1.2558342040822301</c:v>
                </c:pt>
                <c:pt idx="107">
                  <c:v>1.24608368537018</c:v>
                </c:pt>
                <c:pt idx="108">
                  <c:v>1.2515196103627</c:v>
                </c:pt>
                <c:pt idx="109">
                  <c:v>1.2401502042419801</c:v>
                </c:pt>
                <c:pt idx="110">
                  <c:v>1.24639557489169</c:v>
                </c:pt>
                <c:pt idx="111">
                  <c:v>1.2334992142977799</c:v>
                </c:pt>
                <c:pt idx="112">
                  <c:v>1.2405039766061701</c:v>
                </c:pt>
                <c:pt idx="113">
                  <c:v>1.2261827199452602</c:v>
                </c:pt>
                <c:pt idx="114">
                  <c:v>1.23382246441362</c:v>
                </c:pt>
                <c:pt idx="115">
                  <c:v>1.2181743212228799</c:v>
                </c:pt>
                <c:pt idx="116">
                  <c:v>1.2264849153517801</c:v>
                </c:pt>
                <c:pt idx="117">
                  <c:v>1.2096334510147699</c:v>
                </c:pt>
                <c:pt idx="118">
                  <c:v>1.2185271301804599</c:v>
                </c:pt>
                <c:pt idx="119">
                  <c:v>1.2005966099242</c:v>
                </c:pt>
                <c:pt idx="120">
                  <c:v>1.21000882611349</c:v>
                </c:pt>
                <c:pt idx="121">
                  <c:v>1.1911270400743301</c:v>
                </c:pt>
                <c:pt idx="122">
                  <c:v>1.2010530974092999</c:v>
                </c:pt>
                <c:pt idx="123">
                  <c:v>1.1813548314536602</c:v>
                </c:pt>
                <c:pt idx="124">
                  <c:v>1.19166726168967</c:v>
                </c:pt>
                <c:pt idx="125">
                  <c:v>1.17128095894749</c:v>
                </c:pt>
                <c:pt idx="126">
                  <c:v>1.18191388239826</c:v>
                </c:pt>
                <c:pt idx="127">
                  <c:v>1.1609671129776</c:v>
                </c:pt>
                <c:pt idx="128">
                  <c:v>1.1718214049836</c:v>
                </c:pt>
                <c:pt idx="129">
                  <c:v>1.15043831934484</c:v>
                </c:pt>
                <c:pt idx="130">
                  <c:v>1.1614146763400199</c:v>
                </c:pt>
                <c:pt idx="131">
                  <c:v>1.1397166174172</c:v>
                </c:pt>
                <c:pt idx="132">
                  <c:v>1.15085721671778</c:v>
                </c:pt>
                <c:pt idx="133">
                  <c:v>1.1289649889295998</c:v>
                </c:pt>
                <c:pt idx="134">
                  <c:v>1.1401747718002</c:v>
                </c:pt>
                <c:pt idx="135">
                  <c:v>1.1182030238026699</c:v>
                </c:pt>
                <c:pt idx="136">
                  <c:v>1.12942480149627</c:v>
                </c:pt>
                <c:pt idx="137">
                  <c:v>1.1074825505846799</c:v>
                </c:pt>
                <c:pt idx="138">
                  <c:v>1.1186621785703099</c:v>
                </c:pt>
                <c:pt idx="139">
                  <c:v>1.09685246111873</c:v>
                </c:pt>
                <c:pt idx="140">
                  <c:v>1.10793891327601</c:v>
                </c:pt>
                <c:pt idx="141">
                  <c:v>1.08635845486983</c:v>
                </c:pt>
                <c:pt idx="142">
                  <c:v>1.0973390545964701</c:v>
                </c:pt>
                <c:pt idx="143">
                  <c:v>1.0760767680335199</c:v>
                </c:pt>
                <c:pt idx="144">
                  <c:v>1.0869068064301299</c:v>
                </c:pt>
                <c:pt idx="145">
                  <c:v>1.0660443087139899</c:v>
                </c:pt>
                <c:pt idx="146">
                  <c:v>1.0765809296653299</c:v>
                </c:pt>
                <c:pt idx="147">
                  <c:v>1.05619769062178</c:v>
                </c:pt>
                <c:pt idx="148">
                  <c:v>1.06647076670277</c:v>
                </c:pt>
                <c:pt idx="149">
                  <c:v>1.04663744045673</c:v>
                </c:pt>
                <c:pt idx="150">
                  <c:v>1.0566126139608201</c:v>
                </c:pt>
                <c:pt idx="151">
                  <c:v>1.0373935969700299</c:v>
                </c:pt>
                <c:pt idx="152">
                  <c:v>1.0470707105045201</c:v>
                </c:pt>
                <c:pt idx="153">
                  <c:v>1.02852211239022</c:v>
                </c:pt>
                <c:pt idx="154">
                  <c:v>1.0378116843268199</c:v>
                </c:pt>
                <c:pt idx="155">
                  <c:v>1.01998834822399</c:v>
                </c:pt>
                <c:pt idx="156">
                  <c:v>1.0289239076536401</c:v>
                </c:pt>
                <c:pt idx="157">
                  <c:v>1.0118704474579199</c:v>
                </c:pt>
                <c:pt idx="158">
                  <c:v>1.0204280700516701</c:v>
                </c:pt>
                <c:pt idx="159">
                  <c:v>1.0041837363589499</c:v>
                </c:pt>
                <c:pt idx="160">
                  <c:v>1.01226285034883</c:v>
                </c:pt>
                <c:pt idx="161">
                  <c:v>0.99687048877197104</c:v>
                </c:pt>
                <c:pt idx="162">
                  <c:v>1.00455567892264</c:v>
                </c:pt>
                <c:pt idx="163">
                  <c:v>0.99004255862360901</c:v>
                </c:pt>
                <c:pt idx="164">
                  <c:v>0.99722103367628101</c:v>
                </c:pt>
                <c:pt idx="165">
                  <c:v>0.98362218567247295</c:v>
                </c:pt>
                <c:pt idx="166">
                  <c:v>0.99037116083575494</c:v>
                </c:pt>
                <c:pt idx="167">
                  <c:v>0.97770590758831899</c:v>
                </c:pt>
                <c:pt idx="168">
                  <c:v>0.98396921370172907</c:v>
                </c:pt>
                <c:pt idx="169">
                  <c:v>0.97225956940896907</c:v>
                </c:pt>
                <c:pt idx="170">
                  <c:v>0.97802673551324504</c:v>
                </c:pt>
                <c:pt idx="171">
                  <c:v>0.96729178634621704</c:v>
                </c:pt>
                <c:pt idx="172">
                  <c:v>0.97251884886691597</c:v>
                </c:pt>
                <c:pt idx="173">
                  <c:v>0.96278163373122505</c:v>
                </c:pt>
                <c:pt idx="174">
                  <c:v>0.96749545864248498</c:v>
                </c:pt>
                <c:pt idx="175">
                  <c:v>0.95877021699941101</c:v>
                </c:pt>
                <c:pt idx="176">
                  <c:v>0.96299249707579804</c:v>
                </c:pt>
                <c:pt idx="177">
                  <c:v>0.95528443665255303</c:v>
                </c:pt>
                <c:pt idx="178">
                  <c:v>0.95895633034231609</c:v>
                </c:pt>
                <c:pt idx="179">
                  <c:v>0.952282230783006</c:v>
                </c:pt>
                <c:pt idx="180">
                  <c:v>0.95542399398227695</c:v>
                </c:pt>
                <c:pt idx="181">
                  <c:v>0.94979215979972498</c:v>
                </c:pt>
                <c:pt idx="182">
                  <c:v>0.95241834628810096</c:v>
                </c:pt>
                <c:pt idx="183">
                  <c:v>0.94782850931454099</c:v>
                </c:pt>
                <c:pt idx="184">
                  <c:v>0.94990291940017202</c:v>
                </c:pt>
                <c:pt idx="185">
                  <c:v>0.946367292680794</c:v>
                </c:pt>
                <c:pt idx="186">
                  <c:v>0.94790242927202295</c:v>
                </c:pt>
                <c:pt idx="187">
                  <c:v>0.94542489617944503</c:v>
                </c:pt>
                <c:pt idx="188">
                  <c:v>0.94641910893542203</c:v>
                </c:pt>
                <c:pt idx="189">
                  <c:v>0.94500233155482005</c:v>
                </c:pt>
                <c:pt idx="190">
                  <c:v>0.94545684864672908</c:v>
                </c:pt>
                <c:pt idx="191">
                  <c:v>0.94509889816334303</c:v>
                </c:pt>
                <c:pt idx="192">
                  <c:v>0.94501035565256397</c:v>
                </c:pt>
                <c:pt idx="193">
                  <c:v>0.9457150826532289</c:v>
                </c:pt>
                <c:pt idx="194">
                  <c:v>0.94508415535951407</c:v>
                </c:pt>
                <c:pt idx="195">
                  <c:v>0.946850867226676</c:v>
                </c:pt>
                <c:pt idx="196">
                  <c:v>0.94567534358199501</c:v>
                </c:pt>
                <c:pt idx="197">
                  <c:v>0.94849857961278605</c:v>
                </c:pt>
                <c:pt idx="198">
                  <c:v>0.94678719601991601</c:v>
                </c:pt>
                <c:pt idx="199">
                  <c:v>0.95066739986153004</c:v>
                </c:pt>
                <c:pt idx="200">
                  <c:v>0.94841118562846305</c:v>
                </c:pt>
                <c:pt idx="201">
                  <c:v>0.95334051890595806</c:v>
                </c:pt>
                <c:pt idx="202">
                  <c:v>0.95054831990802002</c:v>
                </c:pt>
                <c:pt idx="203">
                  <c:v>0.95652111396377792</c:v>
                </c:pt>
                <c:pt idx="204">
                  <c:v>0.95318658647355503</c:v>
                </c:pt>
                <c:pt idx="205">
                  <c:v>0.96019225594980295</c:v>
                </c:pt>
                <c:pt idx="206">
                  <c:v>0.95634048217580803</c:v>
                </c:pt>
                <c:pt idx="207">
                  <c:v>0.96437371615017997</c:v>
                </c:pt>
                <c:pt idx="208">
                  <c:v>0.95998523005781899</c:v>
                </c:pt>
                <c:pt idx="209">
                  <c:v>0.96903207948288506</c:v>
                </c:pt>
                <c:pt idx="210">
                  <c:v>0.964155071394587</c:v>
                </c:pt>
                <c:pt idx="211">
                  <c:v>0.97420964582406799</c:v>
                </c:pt>
                <c:pt idx="212">
                  <c:v>0.96880552458859293</c:v>
                </c:pt>
                <c:pt idx="213">
                  <c:v>0.97984961230194789</c:v>
                </c:pt>
                <c:pt idx="214">
                  <c:v>0.97396073370705993</c:v>
                </c:pt>
                <c:pt idx="215">
                  <c:v>0.98598017795271797</c:v>
                </c:pt>
                <c:pt idx="216">
                  <c:v>0.979598211907036</c:v>
                </c:pt>
                <c:pt idx="217">
                  <c:v>0.99257274554550601</c:v>
                </c:pt>
                <c:pt idx="218">
                  <c:v>0.98568778875817098</c:v>
                </c:pt>
                <c:pt idx="219">
                  <c:v>0.99959104081793404</c:v>
                </c:pt>
                <c:pt idx="220">
                  <c:v>0.99223688345361505</c:v>
                </c:pt>
                <c:pt idx="221">
                  <c:v>1.0070422256618301</c:v>
                </c:pt>
                <c:pt idx="222">
                  <c:v>0.99923334985322299</c:v>
                </c:pt>
                <c:pt idx="223">
                  <c:v>1.0149104757476799</c:v>
                </c:pt>
                <c:pt idx="224">
                  <c:v>1.0066634817334201</c:v>
                </c:pt>
                <c:pt idx="225">
                  <c:v>1.0231779121142299</c:v>
                </c:pt>
                <c:pt idx="226">
                  <c:v>1.0145114584425801</c:v>
                </c:pt>
                <c:pt idx="227">
                  <c:v>1.03182447029235</c:v>
                </c:pt>
                <c:pt idx="228">
                  <c:v>1.02273157837191</c:v>
                </c:pt>
                <c:pt idx="229">
                  <c:v>1.0407970532706601</c:v>
                </c:pt>
                <c:pt idx="230">
                  <c:v>1.03138791720529</c:v>
                </c:pt>
                <c:pt idx="231">
                  <c:v>1.05016202881936</c:v>
                </c:pt>
                <c:pt idx="232">
                  <c:v>1.0404043252047199</c:v>
                </c:pt>
                <c:pt idx="233">
                  <c:v>1.0598325906436199</c:v>
                </c:pt>
                <c:pt idx="234">
                  <c:v>1.04972410139094</c:v>
                </c:pt>
                <c:pt idx="235">
                  <c:v>1.06974426448414</c:v>
                </c:pt>
                <c:pt idx="236">
                  <c:v>1.05934880744662</c:v>
                </c:pt>
                <c:pt idx="237">
                  <c:v>1.0798948834648201</c:v>
                </c:pt>
                <c:pt idx="238">
                  <c:v>1.06924776092999</c:v>
                </c:pt>
                <c:pt idx="239">
                  <c:v>1.0902475096711</c:v>
                </c:pt>
                <c:pt idx="240">
                  <c:v>1.07942141879669</c:v>
                </c:pt>
                <c:pt idx="241">
                  <c:v>1.1007973513911999</c:v>
                </c:pt>
                <c:pt idx="242">
                  <c:v>1.0898002625607199</c:v>
                </c:pt>
                <c:pt idx="243">
                  <c:v>1.11146658642798</c:v>
                </c:pt>
                <c:pt idx="244">
                  <c:v>1.1003088566547199</c:v>
                </c:pt>
                <c:pt idx="245">
                  <c:v>1.12217276319305</c:v>
                </c:pt>
                <c:pt idx="246">
                  <c:v>1.1109381425730001</c:v>
                </c:pt>
                <c:pt idx="247">
                  <c:v>1.1329014871003</c:v>
                </c:pt>
                <c:pt idx="248">
                  <c:v>1.1216062363839598</c:v>
                </c:pt>
                <c:pt idx="249">
                  <c:v>1.1435648965988601</c:v>
                </c:pt>
                <c:pt idx="250">
                  <c:v>1.13237071232891</c:v>
                </c:pt>
                <c:pt idx="251">
                  <c:v>1.1542141670942601</c:v>
                </c:pt>
                <c:pt idx="252">
                  <c:v>1.14303686860345</c:v>
                </c:pt>
                <c:pt idx="253">
                  <c:v>1.1646507374906301</c:v>
                </c:pt>
                <c:pt idx="254">
                  <c:v>1.1536565999567501</c:v>
                </c:pt>
                <c:pt idx="255">
                  <c:v>1.17492015303412</c:v>
                </c:pt>
                <c:pt idx="256">
                  <c:v>1.1641021747739801</c:v>
                </c:pt>
                <c:pt idx="257">
                  <c:v>1.1848930784179701</c:v>
                </c:pt>
                <c:pt idx="258">
                  <c:v>1.1743500016316901</c:v>
                </c:pt>
                <c:pt idx="259">
                  <c:v>1.19454210551597</c:v>
                </c:pt>
                <c:pt idx="260">
                  <c:v>1.18440493225351</c:v>
                </c:pt>
                <c:pt idx="261">
                  <c:v>1.2038649980210501</c:v>
                </c:pt>
                <c:pt idx="262">
                  <c:v>1.19413473937243</c:v>
                </c:pt>
                <c:pt idx="263">
                  <c:v>1.21273259513851</c:v>
                </c:pt>
                <c:pt idx="264">
                  <c:v>1.2034454274951201</c:v>
                </c:pt>
                <c:pt idx="265">
                  <c:v>1.22105523132557</c:v>
                </c:pt>
                <c:pt idx="266">
                  <c:v>1.21230673422668</c:v>
                </c:pt>
                <c:pt idx="267">
                  <c:v>1.2288024008932898</c:v>
                </c:pt>
                <c:pt idx="268">
                  <c:v>1.2206831167104402</c:v>
                </c:pt>
                <c:pt idx="269">
                  <c:v>1.2359383498637899</c:v>
                </c:pt>
                <c:pt idx="270">
                  <c:v>1.2284829811459299</c:v>
                </c:pt>
                <c:pt idx="271">
                  <c:v>1.2423807117966401</c:v>
                </c:pt>
                <c:pt idx="272">
                  <c:v>1.2356473615829298</c:v>
                </c:pt>
                <c:pt idx="273">
                  <c:v>1.2480780134209499</c:v>
                </c:pt>
                <c:pt idx="274">
                  <c:v>1.24210019790718</c:v>
                </c:pt>
                <c:pt idx="275">
                  <c:v>1.2529687274608798</c:v>
                </c:pt>
                <c:pt idx="276">
                  <c:v>1.2478328660000402</c:v>
                </c:pt>
                <c:pt idx="277">
                  <c:v>1.25704460436118</c:v>
                </c:pt>
                <c:pt idx="278">
                  <c:v>1.2527758497459101</c:v>
                </c:pt>
                <c:pt idx="279">
                  <c:v>1.26025344380654</c:v>
                </c:pt>
                <c:pt idx="280">
                  <c:v>1.2568880030726701</c:v>
                </c:pt>
                <c:pt idx="281">
                  <c:v>1.2625677561679001</c:v>
                </c:pt>
                <c:pt idx="282">
                  <c:v>1.2601252323129799</c:v>
                </c:pt>
                <c:pt idx="283">
                  <c:v>1.2639643300096002</c:v>
                </c:pt>
                <c:pt idx="284">
                  <c:v>1.26247490351923</c:v>
                </c:pt>
                <c:pt idx="285">
                  <c:v>1.2644401917196699</c:v>
                </c:pt>
                <c:pt idx="286">
                  <c:v>1.2639167919590799</c:v>
                </c:pt>
                <c:pt idx="287">
                  <c:v>1.26399123406743</c:v>
                </c:pt>
                <c:pt idx="288">
                  <c:v>1.2644384093069101</c:v>
                </c:pt>
                <c:pt idx="289">
                  <c:v>1.26262134185093</c:v>
                </c:pt>
                <c:pt idx="290">
                  <c:v>1.2640323049102999</c:v>
                </c:pt>
                <c:pt idx="291">
                  <c:v>1.2603333084012298</c:v>
                </c:pt>
                <c:pt idx="292">
                  <c:v>1.2627047319153102</c:v>
                </c:pt>
                <c:pt idx="293">
                  <c:v>1.25716205577262</c:v>
                </c:pt>
                <c:pt idx="294">
                  <c:v>1.26046740892933</c:v>
                </c:pt>
                <c:pt idx="295">
                  <c:v>1.2531285118600202</c:v>
                </c:pt>
                <c:pt idx="296">
                  <c:v>1.2573395412246602</c:v>
                </c:pt>
                <c:pt idx="297">
                  <c:v>1.24826671637729</c:v>
                </c:pt>
                <c:pt idx="298">
                  <c:v>1.2533479540529799</c:v>
                </c:pt>
                <c:pt idx="299">
                  <c:v>1.2426168745581501</c:v>
                </c:pt>
                <c:pt idx="300">
                  <c:v>1.2485088974793299</c:v>
                </c:pt>
                <c:pt idx="301">
                  <c:v>1.2362025786595299</c:v>
                </c:pt>
                <c:pt idx="302">
                  <c:v>1.2429143864668799</c:v>
                </c:pt>
                <c:pt idx="303">
                  <c:v>1.2291418983473699</c:v>
                </c:pt>
                <c:pt idx="304">
                  <c:v>1.2365357975434901</c:v>
                </c:pt>
                <c:pt idx="305">
                  <c:v>1.2213958095773201</c:v>
                </c:pt>
                <c:pt idx="306">
                  <c:v>1.2294833970166901</c:v>
                </c:pt>
                <c:pt idx="307">
                  <c:v>1.21309631264615</c:v>
                </c:pt>
                <c:pt idx="308">
                  <c:v>1.2217920601038899</c:v>
                </c:pt>
                <c:pt idx="309">
                  <c:v>1.2042794902244101</c:v>
                </c:pt>
                <c:pt idx="310">
                  <c:v>1.21354818974581</c:v>
                </c:pt>
                <c:pt idx="311">
                  <c:v>1.1950389407659399</c:v>
                </c:pt>
                <c:pt idx="312">
                  <c:v>1.2047270992171599</c:v>
                </c:pt>
                <c:pt idx="313">
                  <c:v>1.1853432875111101</c:v>
                </c:pt>
                <c:pt idx="314">
                  <c:v>1.195476144346</c:v>
                </c:pt>
                <c:pt idx="315">
                  <c:v>1.1753501614529001</c:v>
                </c:pt>
                <c:pt idx="316">
                  <c:v>1.1858298864638801</c:v>
                </c:pt>
                <c:pt idx="317">
                  <c:v>1.165090691938</c:v>
                </c:pt>
                <c:pt idx="318">
                  <c:v>1.1758515746706601</c:v>
                </c:pt>
                <c:pt idx="319">
                  <c:v>1.1546264061254701</c:v>
                </c:pt>
                <c:pt idx="320">
                  <c:v>1.1655694007520401</c:v>
                </c:pt>
                <c:pt idx="321">
                  <c:v>1.1439816524955599</c:v>
                </c:pt>
                <c:pt idx="322">
                  <c:v>1.15507820451684</c:v>
                </c:pt>
                <c:pt idx="323">
                  <c:v>1.1332492293306999</c:v>
                </c:pt>
                <c:pt idx="324">
                  <c:v>1.14443850689611</c:v>
                </c:pt>
                <c:pt idx="325">
                  <c:v>1.12248500847417</c:v>
                </c:pt>
                <c:pt idx="326">
                  <c:v>1.1337086850746301</c:v>
                </c:pt>
                <c:pt idx="327">
                  <c:v>1.1117420037714101</c:v>
                </c:pt>
                <c:pt idx="328">
                  <c:v>1.12298032737785</c:v>
                </c:pt>
                <c:pt idx="329">
                  <c:v>1.1011054745670801</c:v>
                </c:pt>
                <c:pt idx="330">
                  <c:v>1.11227069454922</c:v>
                </c:pt>
                <c:pt idx="331">
                  <c:v>1.0905862222367901</c:v>
                </c:pt>
                <c:pt idx="332">
                  <c:v>1.1016295245732799</c:v>
                </c:pt>
                <c:pt idx="333">
                  <c:v>1.0802276847719601</c:v>
                </c:pt>
                <c:pt idx="334">
                  <c:v>1.0911034602738798</c:v>
                </c:pt>
                <c:pt idx="335">
                  <c:v>1.07006992013685</c:v>
                </c:pt>
                <c:pt idx="336">
                  <c:v>1.0807018440713501</c:v>
                </c:pt>
                <c:pt idx="337">
                  <c:v>1.0601174114623599</c:v>
                </c:pt>
                <c:pt idx="338">
                  <c:v>1.07053399728433</c:v>
                </c:pt>
                <c:pt idx="339">
                  <c:v>1.0504700282944899</c:v>
                </c:pt>
                <c:pt idx="340">
                  <c:v>1.06060225722917</c:v>
                </c:pt>
                <c:pt idx="341">
                  <c:v>1.0411252265445698</c:v>
                </c:pt>
                <c:pt idx="342">
                  <c:v>1.05094066874474</c:v>
                </c:pt>
                <c:pt idx="343">
                  <c:v>1.03211099640079</c:v>
                </c:pt>
                <c:pt idx="344">
                  <c:v>1.041580221159</c:v>
                </c:pt>
                <c:pt idx="345">
                  <c:v>1.02345251816533</c:v>
                </c:pt>
                <c:pt idx="346">
                  <c:v>1.0325489748901</c:v>
                </c:pt>
                <c:pt idx="347">
                  <c:v>1.0151724448666601</c:v>
                </c:pt>
                <c:pt idx="348">
                  <c:v>1.0238441472237201</c:v>
                </c:pt>
                <c:pt idx="349">
                  <c:v>1.0072654599439701</c:v>
                </c:pt>
                <c:pt idx="350">
                  <c:v>1.01551923038527</c:v>
                </c:pt>
                <c:pt idx="351">
                  <c:v>0.99977782817240302</c:v>
                </c:pt>
                <c:pt idx="352">
                  <c:v>1.0075947259031499</c:v>
                </c:pt>
                <c:pt idx="353">
                  <c:v>0.99272555862330403</c:v>
                </c:pt>
                <c:pt idx="354">
                  <c:v>1.0000888556812999</c:v>
                </c:pt>
                <c:pt idx="355">
                  <c:v>0.98612276548298294</c:v>
                </c:pt>
                <c:pt idx="356">
                  <c:v>0.99304037134735101</c:v>
                </c:pt>
                <c:pt idx="357">
                  <c:v>0.98000127124249392</c:v>
                </c:pt>
                <c:pt idx="358">
                  <c:v>0.98643779461056502</c:v>
                </c:pt>
                <c:pt idx="359">
                  <c:v>0.97434912460242606</c:v>
                </c:pt>
                <c:pt idx="360">
                  <c:v>0.98029332928831103</c:v>
                </c:pt>
                <c:pt idx="361">
                  <c:v>0.96917544215996398</c:v>
                </c:pt>
                <c:pt idx="362">
                  <c:v>0.97461770175079099</c:v>
                </c:pt>
                <c:pt idx="363">
                  <c:v>0.96448813084168405</c:v>
                </c:pt>
                <c:pt idx="364">
                  <c:v>0.96940368576300007</c:v>
                </c:pt>
                <c:pt idx="365">
                  <c:v>0.96028073974353001</c:v>
                </c:pt>
                <c:pt idx="366">
                  <c:v>0.9646788954171529</c:v>
                </c:pt>
                <c:pt idx="367">
                  <c:v>0.95657549067288705</c:v>
                </c:pt>
                <c:pt idx="368">
                  <c:v>0.96045022709048411</c:v>
                </c:pt>
                <c:pt idx="369">
                  <c:v>0.95337715528572198</c:v>
                </c:pt>
                <c:pt idx="370">
                  <c:v>0.95673493530823106</c:v>
                </c:pt>
                <c:pt idx="371">
                  <c:v>0.95069765799475092</c:v>
                </c:pt>
                <c:pt idx="372">
                  <c:v>0.95352297648240503</c:v>
                </c:pt>
                <c:pt idx="373">
                  <c:v>0.94852876647530804</c:v>
                </c:pt>
                <c:pt idx="374">
                  <c:v>0.95081829557408004</c:v>
                </c:pt>
                <c:pt idx="375">
                  <c:v>0.946872922497078</c:v>
                </c:pt>
                <c:pt idx="376">
                  <c:v>0.94862408463926895</c:v>
                </c:pt>
                <c:pt idx="377">
                  <c:v>0.94573192869790401</c:v>
                </c:pt>
                <c:pt idx="378">
                  <c:v>0.94694275493561297</c:v>
                </c:pt>
                <c:pt idx="379">
                  <c:v>0.94510700367065803</c:v>
                </c:pt>
                <c:pt idx="380">
                  <c:v>0.94577626699239103</c:v>
                </c:pt>
                <c:pt idx="381">
                  <c:v>0.94499881878780601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6A-4039-A095-405B7126D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5807311"/>
        <c:axId val="1075809711"/>
      </c:scatterChart>
      <c:valAx>
        <c:axId val="1075807311"/>
        <c:scaling>
          <c:orientation val="minMax"/>
          <c:max val="3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75809711"/>
        <c:crosses val="autoZero"/>
        <c:crossBetween val="midCat"/>
        <c:majorUnit val="90"/>
        <c:minorUnit val="45"/>
      </c:valAx>
      <c:valAx>
        <c:axId val="1075809711"/>
        <c:scaling>
          <c:orientation val="minMax"/>
          <c:max val="1.9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75807311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Inter-ISL</a:t>
            </a:r>
            <a:r>
              <a:rPr lang="en-US" altLang="ko-KR" baseline="0"/>
              <a:t> link angular velocity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745677477373509"/>
          <c:y val="0.14196352136178098"/>
          <c:w val="0.75302856931332818"/>
          <c:h val="0.69674278098111708"/>
        </c:manualLayout>
      </c:layout>
      <c:scatterChart>
        <c:scatterStyle val="lineMarker"/>
        <c:varyColors val="0"/>
        <c:ser>
          <c:idx val="1"/>
          <c:order val="0"/>
          <c:tx>
            <c:strRef>
              <c:f>pat_result!$J$1</c:f>
              <c:strCache>
                <c:ptCount val="1"/>
                <c:pt idx="0">
                  <c:v>F=0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2"/>
            <c:spPr>
              <a:solidFill>
                <a:schemeClr val="bg2">
                  <a:lumMod val="50000"/>
                </a:schemeClr>
              </a:solidFill>
              <a:ln>
                <a:noFill/>
              </a:ln>
            </c:spPr>
          </c:marker>
          <c:xVal>
            <c:numRef>
              <c:f>pat_result!$I$2:$I$401</c:f>
              <c:numCache>
                <c:formatCode>General</c:formatCode>
                <c:ptCount val="400"/>
                <c:pt idx="0">
                  <c:v>6.2630000000000012E-3</c:v>
                </c:pt>
                <c:pt idx="1">
                  <c:v>6.2630000000000012E-3</c:v>
                </c:pt>
                <c:pt idx="2">
                  <c:v>1.8851630000000021</c:v>
                </c:pt>
                <c:pt idx="3">
                  <c:v>1.8851630000000021</c:v>
                </c:pt>
                <c:pt idx="4">
                  <c:v>3.7891150000000429</c:v>
                </c:pt>
                <c:pt idx="5">
                  <c:v>3.7891150000000429</c:v>
                </c:pt>
                <c:pt idx="6">
                  <c:v>5.6680149999999898</c:v>
                </c:pt>
                <c:pt idx="7">
                  <c:v>5.6680149999999898</c:v>
                </c:pt>
                <c:pt idx="8">
                  <c:v>7.5657039999999816</c:v>
                </c:pt>
                <c:pt idx="9">
                  <c:v>7.5657039999999816</c:v>
                </c:pt>
                <c:pt idx="10">
                  <c:v>9.4508670000001374</c:v>
                </c:pt>
                <c:pt idx="11">
                  <c:v>9.4508670000001374</c:v>
                </c:pt>
                <c:pt idx="12">
                  <c:v>11.329767000000343</c:v>
                </c:pt>
                <c:pt idx="13">
                  <c:v>11.329767000000343</c:v>
                </c:pt>
                <c:pt idx="14">
                  <c:v>13.208667000000569</c:v>
                </c:pt>
                <c:pt idx="15">
                  <c:v>13.208667000000569</c:v>
                </c:pt>
                <c:pt idx="16">
                  <c:v>15.106356000000735</c:v>
                </c:pt>
                <c:pt idx="17">
                  <c:v>15.106356000000735</c:v>
                </c:pt>
                <c:pt idx="18">
                  <c:v>16.991519000000864</c:v>
                </c:pt>
                <c:pt idx="19">
                  <c:v>16.991519000000864</c:v>
                </c:pt>
                <c:pt idx="20">
                  <c:v>18.920523000001062</c:v>
                </c:pt>
                <c:pt idx="21">
                  <c:v>18.920523000001062</c:v>
                </c:pt>
                <c:pt idx="22">
                  <c:v>20.830738000001276</c:v>
                </c:pt>
                <c:pt idx="23">
                  <c:v>20.830738000001276</c:v>
                </c:pt>
                <c:pt idx="24">
                  <c:v>22.734690000001489</c:v>
                </c:pt>
                <c:pt idx="25">
                  <c:v>22.734690000001489</c:v>
                </c:pt>
                <c:pt idx="26">
                  <c:v>24.632379000001709</c:v>
                </c:pt>
                <c:pt idx="27">
                  <c:v>24.632379000001709</c:v>
                </c:pt>
                <c:pt idx="28">
                  <c:v>26.530068000001961</c:v>
                </c:pt>
                <c:pt idx="29">
                  <c:v>26.530068000001961</c:v>
                </c:pt>
                <c:pt idx="30">
                  <c:v>28.408968000002208</c:v>
                </c:pt>
                <c:pt idx="31">
                  <c:v>28.408968000002208</c:v>
                </c:pt>
                <c:pt idx="32">
                  <c:v>30.300394000002274</c:v>
                </c:pt>
                <c:pt idx="33">
                  <c:v>30.300394000002274</c:v>
                </c:pt>
                <c:pt idx="34">
                  <c:v>32.191820000002224</c:v>
                </c:pt>
                <c:pt idx="35">
                  <c:v>32.191820000002224</c:v>
                </c:pt>
                <c:pt idx="36">
                  <c:v>34.083246000001388</c:v>
                </c:pt>
                <c:pt idx="37">
                  <c:v>34.083246000001388</c:v>
                </c:pt>
                <c:pt idx="38">
                  <c:v>35.962146000000565</c:v>
                </c:pt>
                <c:pt idx="39">
                  <c:v>35.962146000000565</c:v>
                </c:pt>
                <c:pt idx="40">
                  <c:v>37.841045999999736</c:v>
                </c:pt>
                <c:pt idx="41">
                  <c:v>37.841045999999736</c:v>
                </c:pt>
                <c:pt idx="42">
                  <c:v>39.732471999998907</c:v>
                </c:pt>
                <c:pt idx="43">
                  <c:v>39.732471999998907</c:v>
                </c:pt>
                <c:pt idx="44">
                  <c:v>41.623897999998071</c:v>
                </c:pt>
                <c:pt idx="45">
                  <c:v>41.623897999998071</c:v>
                </c:pt>
                <c:pt idx="46">
                  <c:v>43.515323999997243</c:v>
                </c:pt>
                <c:pt idx="47">
                  <c:v>43.515323999997243</c:v>
                </c:pt>
                <c:pt idx="48">
                  <c:v>45.394223999996413</c:v>
                </c:pt>
                <c:pt idx="49">
                  <c:v>45.394223999996413</c:v>
                </c:pt>
                <c:pt idx="50">
                  <c:v>47.285649999995584</c:v>
                </c:pt>
                <c:pt idx="51">
                  <c:v>47.285649999995584</c:v>
                </c:pt>
                <c:pt idx="52">
                  <c:v>49.164549999994755</c:v>
                </c:pt>
                <c:pt idx="53">
                  <c:v>49.164549999994755</c:v>
                </c:pt>
                <c:pt idx="54">
                  <c:v>51.062238999993923</c:v>
                </c:pt>
                <c:pt idx="55">
                  <c:v>51.062238999993923</c:v>
                </c:pt>
                <c:pt idx="56">
                  <c:v>52.9411389999931</c:v>
                </c:pt>
                <c:pt idx="57">
                  <c:v>52.9411389999931</c:v>
                </c:pt>
                <c:pt idx="58">
                  <c:v>54.832564999992265</c:v>
                </c:pt>
                <c:pt idx="59">
                  <c:v>54.832564999992265</c:v>
                </c:pt>
                <c:pt idx="60">
                  <c:v>56.717727999991439</c:v>
                </c:pt>
                <c:pt idx="61">
                  <c:v>56.717727999991439</c:v>
                </c:pt>
                <c:pt idx="62">
                  <c:v>58.59662799999041</c:v>
                </c:pt>
                <c:pt idx="63">
                  <c:v>58.59662799999041</c:v>
                </c:pt>
                <c:pt idx="64">
                  <c:v>60.494316999989287</c:v>
                </c:pt>
                <c:pt idx="65">
                  <c:v>60.494316999989287</c:v>
                </c:pt>
                <c:pt idx="66">
                  <c:v>62.37321699998818</c:v>
                </c:pt>
                <c:pt idx="67">
                  <c:v>62.37321699998818</c:v>
                </c:pt>
                <c:pt idx="68">
                  <c:v>64.264642999987458</c:v>
                </c:pt>
                <c:pt idx="69">
                  <c:v>64.264642999987458</c:v>
                </c:pt>
                <c:pt idx="70">
                  <c:v>66.149805999988899</c:v>
                </c:pt>
                <c:pt idx="71">
                  <c:v>66.149805999988899</c:v>
                </c:pt>
                <c:pt idx="72">
                  <c:v>68.04123199999033</c:v>
                </c:pt>
                <c:pt idx="73">
                  <c:v>68.04123199999033</c:v>
                </c:pt>
                <c:pt idx="74">
                  <c:v>69.932657999992031</c:v>
                </c:pt>
                <c:pt idx="75">
                  <c:v>69.932657999992031</c:v>
                </c:pt>
                <c:pt idx="76">
                  <c:v>71.811557999993852</c:v>
                </c:pt>
                <c:pt idx="77">
                  <c:v>71.811557999993852</c:v>
                </c:pt>
                <c:pt idx="78">
                  <c:v>73.690457999995672</c:v>
                </c:pt>
                <c:pt idx="79">
                  <c:v>73.690457999995672</c:v>
                </c:pt>
                <c:pt idx="80">
                  <c:v>75.588146999997534</c:v>
                </c:pt>
                <c:pt idx="81">
                  <c:v>75.588146999997534</c:v>
                </c:pt>
                <c:pt idx="82">
                  <c:v>77.467046999999354</c:v>
                </c:pt>
                <c:pt idx="83">
                  <c:v>77.467046999999354</c:v>
                </c:pt>
                <c:pt idx="84">
                  <c:v>79.358473000001183</c:v>
                </c:pt>
                <c:pt idx="85">
                  <c:v>79.358473000001183</c:v>
                </c:pt>
                <c:pt idx="86">
                  <c:v>81.24989900000304</c:v>
                </c:pt>
                <c:pt idx="87">
                  <c:v>81.24989900000304</c:v>
                </c:pt>
                <c:pt idx="88">
                  <c:v>83.141325000004883</c:v>
                </c:pt>
                <c:pt idx="89">
                  <c:v>83.141325000004883</c:v>
                </c:pt>
                <c:pt idx="90">
                  <c:v>85.020225000006718</c:v>
                </c:pt>
                <c:pt idx="91">
                  <c:v>85.020225000006718</c:v>
                </c:pt>
                <c:pt idx="92">
                  <c:v>86.899125000008539</c:v>
                </c:pt>
                <c:pt idx="93">
                  <c:v>86.899125000008539</c:v>
                </c:pt>
                <c:pt idx="94">
                  <c:v>88.790551000010367</c:v>
                </c:pt>
                <c:pt idx="95">
                  <c:v>88.790551000010367</c:v>
                </c:pt>
                <c:pt idx="96">
                  <c:v>90.681977000012225</c:v>
                </c:pt>
                <c:pt idx="97">
                  <c:v>90.681977000012225</c:v>
                </c:pt>
                <c:pt idx="98">
                  <c:v>92.573403000014096</c:v>
                </c:pt>
                <c:pt idx="99">
                  <c:v>92.573403000014096</c:v>
                </c:pt>
                <c:pt idx="100">
                  <c:v>94.452303000016087</c:v>
                </c:pt>
                <c:pt idx="101">
                  <c:v>94.452303000016087</c:v>
                </c:pt>
                <c:pt idx="102">
                  <c:v>96.331203000018064</c:v>
                </c:pt>
                <c:pt idx="103">
                  <c:v>96.331203000018064</c:v>
                </c:pt>
                <c:pt idx="104">
                  <c:v>98.228892000020082</c:v>
                </c:pt>
                <c:pt idx="105">
                  <c:v>98.228892000020082</c:v>
                </c:pt>
                <c:pt idx="106">
                  <c:v>100.12031800002208</c:v>
                </c:pt>
                <c:pt idx="107">
                  <c:v>100.12031800002208</c:v>
                </c:pt>
                <c:pt idx="108">
                  <c:v>101.99921800002406</c:v>
                </c:pt>
                <c:pt idx="109">
                  <c:v>101.99921800002406</c:v>
                </c:pt>
                <c:pt idx="110">
                  <c:v>103.87811800002605</c:v>
                </c:pt>
                <c:pt idx="111">
                  <c:v>103.87811800002605</c:v>
                </c:pt>
                <c:pt idx="112">
                  <c:v>105.75701800002803</c:v>
                </c:pt>
                <c:pt idx="113">
                  <c:v>105.75701800002803</c:v>
                </c:pt>
                <c:pt idx="114">
                  <c:v>107.65470700003004</c:v>
                </c:pt>
                <c:pt idx="115">
                  <c:v>107.65470700003004</c:v>
                </c:pt>
                <c:pt idx="116">
                  <c:v>109.54613300003204</c:v>
                </c:pt>
                <c:pt idx="117">
                  <c:v>109.54613300003204</c:v>
                </c:pt>
                <c:pt idx="118">
                  <c:v>111.43755900003404</c:v>
                </c:pt>
                <c:pt idx="119">
                  <c:v>111.43755900003404</c:v>
                </c:pt>
                <c:pt idx="120">
                  <c:v>113.32898500003604</c:v>
                </c:pt>
                <c:pt idx="121">
                  <c:v>113.32898500003604</c:v>
                </c:pt>
                <c:pt idx="122">
                  <c:v>115.20788500003803</c:v>
                </c:pt>
                <c:pt idx="123">
                  <c:v>115.20788500003803</c:v>
                </c:pt>
                <c:pt idx="124">
                  <c:v>117.08678500003998</c:v>
                </c:pt>
                <c:pt idx="125">
                  <c:v>117.08678500003998</c:v>
                </c:pt>
                <c:pt idx="126">
                  <c:v>118.96568500004193</c:v>
                </c:pt>
                <c:pt idx="127">
                  <c:v>118.96568500004193</c:v>
                </c:pt>
                <c:pt idx="128">
                  <c:v>120.85084800004387</c:v>
                </c:pt>
                <c:pt idx="129">
                  <c:v>120.85084800004387</c:v>
                </c:pt>
                <c:pt idx="130">
                  <c:v>122.74853700004584</c:v>
                </c:pt>
                <c:pt idx="131">
                  <c:v>122.74853700004584</c:v>
                </c:pt>
                <c:pt idx="132">
                  <c:v>124.6399630000478</c:v>
                </c:pt>
                <c:pt idx="133">
                  <c:v>124.6399630000478</c:v>
                </c:pt>
                <c:pt idx="134">
                  <c:v>126.53138900004976</c:v>
                </c:pt>
                <c:pt idx="135">
                  <c:v>126.53138900004976</c:v>
                </c:pt>
                <c:pt idx="136">
                  <c:v>128.42281500005069</c:v>
                </c:pt>
                <c:pt idx="137">
                  <c:v>128.42281500005069</c:v>
                </c:pt>
                <c:pt idx="138">
                  <c:v>130.31424100004827</c:v>
                </c:pt>
                <c:pt idx="139">
                  <c:v>130.31424100004827</c:v>
                </c:pt>
                <c:pt idx="140">
                  <c:v>132.20566700004582</c:v>
                </c:pt>
                <c:pt idx="141">
                  <c:v>132.20566700004582</c:v>
                </c:pt>
                <c:pt idx="142">
                  <c:v>134.09083000004341</c:v>
                </c:pt>
                <c:pt idx="143">
                  <c:v>134.09083000004341</c:v>
                </c:pt>
                <c:pt idx="144">
                  <c:v>135.96973000004098</c:v>
                </c:pt>
                <c:pt idx="145">
                  <c:v>135.96973000004098</c:v>
                </c:pt>
                <c:pt idx="146">
                  <c:v>137.86115600003856</c:v>
                </c:pt>
                <c:pt idx="147">
                  <c:v>137.86115600003856</c:v>
                </c:pt>
                <c:pt idx="148">
                  <c:v>139.75258200003611</c:v>
                </c:pt>
                <c:pt idx="149">
                  <c:v>139.75258200003611</c:v>
                </c:pt>
                <c:pt idx="150">
                  <c:v>141.64400800003369</c:v>
                </c:pt>
                <c:pt idx="151">
                  <c:v>141.64400800003369</c:v>
                </c:pt>
                <c:pt idx="152">
                  <c:v>143.52917100003125</c:v>
                </c:pt>
                <c:pt idx="153">
                  <c:v>143.52917100003125</c:v>
                </c:pt>
                <c:pt idx="154">
                  <c:v>145.42059700002883</c:v>
                </c:pt>
                <c:pt idx="155">
                  <c:v>145.42059700002883</c:v>
                </c:pt>
                <c:pt idx="156">
                  <c:v>147.30576000002642</c:v>
                </c:pt>
                <c:pt idx="157">
                  <c:v>147.30576000002642</c:v>
                </c:pt>
                <c:pt idx="158">
                  <c:v>149.184660000024</c:v>
                </c:pt>
                <c:pt idx="159">
                  <c:v>149.184660000024</c:v>
                </c:pt>
                <c:pt idx="160">
                  <c:v>151.07608600002158</c:v>
                </c:pt>
                <c:pt idx="161">
                  <c:v>151.07608600002158</c:v>
                </c:pt>
                <c:pt idx="162">
                  <c:v>152.95498600001915</c:v>
                </c:pt>
                <c:pt idx="163">
                  <c:v>152.95498600001915</c:v>
                </c:pt>
                <c:pt idx="164">
                  <c:v>154.8464120000167</c:v>
                </c:pt>
                <c:pt idx="165">
                  <c:v>154.8464120000167</c:v>
                </c:pt>
                <c:pt idx="166">
                  <c:v>156.7253120000143</c:v>
                </c:pt>
                <c:pt idx="167">
                  <c:v>156.7253120000143</c:v>
                </c:pt>
                <c:pt idx="168">
                  <c:v>158.60421200001187</c:v>
                </c:pt>
                <c:pt idx="169">
                  <c:v>158.60421200001187</c:v>
                </c:pt>
                <c:pt idx="170">
                  <c:v>160.48311200000947</c:v>
                </c:pt>
                <c:pt idx="171">
                  <c:v>160.48311200000947</c:v>
                </c:pt>
                <c:pt idx="172">
                  <c:v>162.37453800000702</c:v>
                </c:pt>
                <c:pt idx="173">
                  <c:v>162.37453800000702</c:v>
                </c:pt>
                <c:pt idx="174">
                  <c:v>164.2659640000046</c:v>
                </c:pt>
                <c:pt idx="175">
                  <c:v>164.2659640000046</c:v>
                </c:pt>
                <c:pt idx="176">
                  <c:v>166.14486400000217</c:v>
                </c:pt>
                <c:pt idx="177">
                  <c:v>166.14486400000217</c:v>
                </c:pt>
                <c:pt idx="178">
                  <c:v>168.03628999999975</c:v>
                </c:pt>
                <c:pt idx="179">
                  <c:v>168.03628999999975</c:v>
                </c:pt>
                <c:pt idx="180">
                  <c:v>169.9277159999973</c:v>
                </c:pt>
                <c:pt idx="181">
                  <c:v>169.9277159999973</c:v>
                </c:pt>
                <c:pt idx="182">
                  <c:v>171.8066159999949</c:v>
                </c:pt>
                <c:pt idx="183">
                  <c:v>171.8066159999949</c:v>
                </c:pt>
                <c:pt idx="184">
                  <c:v>173.69804199999245</c:v>
                </c:pt>
                <c:pt idx="185">
                  <c:v>173.69804199999245</c:v>
                </c:pt>
                <c:pt idx="186">
                  <c:v>175.58946799999003</c:v>
                </c:pt>
                <c:pt idx="187">
                  <c:v>175.58946799999003</c:v>
                </c:pt>
                <c:pt idx="188">
                  <c:v>177.48089399998759</c:v>
                </c:pt>
                <c:pt idx="189">
                  <c:v>177.48089399998759</c:v>
                </c:pt>
                <c:pt idx="190">
                  <c:v>179.36605699998518</c:v>
                </c:pt>
                <c:pt idx="191">
                  <c:v>179.36605699998518</c:v>
                </c:pt>
                <c:pt idx="192">
                  <c:v>181.25748299998276</c:v>
                </c:pt>
                <c:pt idx="193">
                  <c:v>181.25748299998276</c:v>
                </c:pt>
                <c:pt idx="194">
                  <c:v>183.14890899998031</c:v>
                </c:pt>
                <c:pt idx="195">
                  <c:v>183.14890899998031</c:v>
                </c:pt>
                <c:pt idx="196">
                  <c:v>185.0340719999779</c:v>
                </c:pt>
                <c:pt idx="197">
                  <c:v>185.0340719999779</c:v>
                </c:pt>
                <c:pt idx="198">
                  <c:v>186.92549799997545</c:v>
                </c:pt>
                <c:pt idx="199">
                  <c:v>186.92549799997545</c:v>
                </c:pt>
                <c:pt idx="200">
                  <c:v>188.81066099997304</c:v>
                </c:pt>
                <c:pt idx="201">
                  <c:v>188.81066099997304</c:v>
                </c:pt>
                <c:pt idx="202">
                  <c:v>190.6958239999706</c:v>
                </c:pt>
                <c:pt idx="203">
                  <c:v>190.6958239999706</c:v>
                </c:pt>
                <c:pt idx="204">
                  <c:v>192.5747239999682</c:v>
                </c:pt>
                <c:pt idx="205">
                  <c:v>192.5747239999682</c:v>
                </c:pt>
                <c:pt idx="206">
                  <c:v>194.45988699996576</c:v>
                </c:pt>
                <c:pt idx="207">
                  <c:v>194.45988699996576</c:v>
                </c:pt>
                <c:pt idx="208">
                  <c:v>196.33878699996336</c:v>
                </c:pt>
                <c:pt idx="209">
                  <c:v>196.33878699996336</c:v>
                </c:pt>
                <c:pt idx="210">
                  <c:v>198.23021299996091</c:v>
                </c:pt>
                <c:pt idx="211">
                  <c:v>198.23021299996091</c:v>
                </c:pt>
                <c:pt idx="212">
                  <c:v>200.1153759999585</c:v>
                </c:pt>
                <c:pt idx="213">
                  <c:v>200.1153759999585</c:v>
                </c:pt>
                <c:pt idx="214">
                  <c:v>202.00680199995605</c:v>
                </c:pt>
                <c:pt idx="215">
                  <c:v>202.00680199995605</c:v>
                </c:pt>
                <c:pt idx="216">
                  <c:v>203.89822799995363</c:v>
                </c:pt>
                <c:pt idx="217">
                  <c:v>203.89822799995363</c:v>
                </c:pt>
                <c:pt idx="218">
                  <c:v>205.78339099995119</c:v>
                </c:pt>
                <c:pt idx="219">
                  <c:v>205.78339099995119</c:v>
                </c:pt>
                <c:pt idx="220">
                  <c:v>207.66855399994878</c:v>
                </c:pt>
                <c:pt idx="221">
                  <c:v>207.66855399994878</c:v>
                </c:pt>
                <c:pt idx="222">
                  <c:v>209.55371699994635</c:v>
                </c:pt>
                <c:pt idx="223">
                  <c:v>209.55371699994635</c:v>
                </c:pt>
                <c:pt idx="224">
                  <c:v>211.43887999994394</c:v>
                </c:pt>
                <c:pt idx="225">
                  <c:v>211.43887999994394</c:v>
                </c:pt>
                <c:pt idx="226">
                  <c:v>213.3240429999415</c:v>
                </c:pt>
                <c:pt idx="227">
                  <c:v>213.3240429999415</c:v>
                </c:pt>
                <c:pt idx="228">
                  <c:v>215.2029429999391</c:v>
                </c:pt>
                <c:pt idx="229">
                  <c:v>215.2029429999391</c:v>
                </c:pt>
                <c:pt idx="230">
                  <c:v>217.09436899993665</c:v>
                </c:pt>
                <c:pt idx="231">
                  <c:v>217.09436899993665</c:v>
                </c:pt>
                <c:pt idx="232">
                  <c:v>218.98579499993423</c:v>
                </c:pt>
                <c:pt idx="233">
                  <c:v>218.98579499993423</c:v>
                </c:pt>
                <c:pt idx="234">
                  <c:v>220.87095799993179</c:v>
                </c:pt>
                <c:pt idx="235">
                  <c:v>220.87095799993179</c:v>
                </c:pt>
                <c:pt idx="236">
                  <c:v>222.75612099992938</c:v>
                </c:pt>
                <c:pt idx="237">
                  <c:v>222.75612099992938</c:v>
                </c:pt>
                <c:pt idx="238">
                  <c:v>224.64128399992694</c:v>
                </c:pt>
                <c:pt idx="239">
                  <c:v>224.64128399992694</c:v>
                </c:pt>
                <c:pt idx="240">
                  <c:v>226.53270999992452</c:v>
                </c:pt>
                <c:pt idx="241">
                  <c:v>226.53270999992452</c:v>
                </c:pt>
                <c:pt idx="242">
                  <c:v>228.42413599992207</c:v>
                </c:pt>
                <c:pt idx="243">
                  <c:v>228.42413599992207</c:v>
                </c:pt>
                <c:pt idx="244">
                  <c:v>230.30929899992211</c:v>
                </c:pt>
                <c:pt idx="245">
                  <c:v>230.30929899992211</c:v>
                </c:pt>
                <c:pt idx="246">
                  <c:v>232.19446199992382</c:v>
                </c:pt>
                <c:pt idx="247">
                  <c:v>232.19446199992382</c:v>
                </c:pt>
                <c:pt idx="248">
                  <c:v>234.07336199992565</c:v>
                </c:pt>
                <c:pt idx="249">
                  <c:v>234.07336199992565</c:v>
                </c:pt>
                <c:pt idx="250">
                  <c:v>235.96478799992752</c:v>
                </c:pt>
                <c:pt idx="251">
                  <c:v>235.96478799992752</c:v>
                </c:pt>
                <c:pt idx="252">
                  <c:v>237.84368799992936</c:v>
                </c:pt>
                <c:pt idx="253">
                  <c:v>237.84368799992936</c:v>
                </c:pt>
                <c:pt idx="254">
                  <c:v>239.72885099993115</c:v>
                </c:pt>
                <c:pt idx="255">
                  <c:v>239.72885099993115</c:v>
                </c:pt>
                <c:pt idx="256">
                  <c:v>241.60775099993299</c:v>
                </c:pt>
                <c:pt idx="257">
                  <c:v>241.60775099993299</c:v>
                </c:pt>
                <c:pt idx="258">
                  <c:v>243.48665099993485</c:v>
                </c:pt>
                <c:pt idx="259">
                  <c:v>243.48665099993485</c:v>
                </c:pt>
                <c:pt idx="260">
                  <c:v>245.37807699993664</c:v>
                </c:pt>
                <c:pt idx="261">
                  <c:v>245.37807699993664</c:v>
                </c:pt>
                <c:pt idx="262">
                  <c:v>247.26950299993851</c:v>
                </c:pt>
                <c:pt idx="263">
                  <c:v>247.26950299993851</c:v>
                </c:pt>
                <c:pt idx="264">
                  <c:v>249.15466599994036</c:v>
                </c:pt>
                <c:pt idx="265">
                  <c:v>249.15466599994036</c:v>
                </c:pt>
                <c:pt idx="266">
                  <c:v>251.03982899994216</c:v>
                </c:pt>
                <c:pt idx="267">
                  <c:v>251.03982899994216</c:v>
                </c:pt>
                <c:pt idx="268">
                  <c:v>252.931254999944</c:v>
                </c:pt>
                <c:pt idx="269">
                  <c:v>252.931254999944</c:v>
                </c:pt>
                <c:pt idx="270">
                  <c:v>254.82268099994587</c:v>
                </c:pt>
                <c:pt idx="271">
                  <c:v>254.82268099994587</c:v>
                </c:pt>
                <c:pt idx="272">
                  <c:v>256.71410699994607</c:v>
                </c:pt>
                <c:pt idx="273">
                  <c:v>256.71410699994607</c:v>
                </c:pt>
                <c:pt idx="274">
                  <c:v>258.59926999994366</c:v>
                </c:pt>
                <c:pt idx="275">
                  <c:v>258.59926999994366</c:v>
                </c:pt>
                <c:pt idx="276">
                  <c:v>260.49069599994124</c:v>
                </c:pt>
                <c:pt idx="277">
                  <c:v>260.49069599994124</c:v>
                </c:pt>
                <c:pt idx="278">
                  <c:v>262.38212199993882</c:v>
                </c:pt>
                <c:pt idx="279">
                  <c:v>262.38212199993882</c:v>
                </c:pt>
                <c:pt idx="280">
                  <c:v>264.27354799993634</c:v>
                </c:pt>
                <c:pt idx="281">
                  <c:v>264.27354799993634</c:v>
                </c:pt>
                <c:pt idx="282">
                  <c:v>266.15871099993393</c:v>
                </c:pt>
                <c:pt idx="283">
                  <c:v>266.15871099993393</c:v>
                </c:pt>
                <c:pt idx="284">
                  <c:v>268.04387399993152</c:v>
                </c:pt>
                <c:pt idx="285">
                  <c:v>268.04387399993152</c:v>
                </c:pt>
                <c:pt idx="286">
                  <c:v>269.92903699992911</c:v>
                </c:pt>
                <c:pt idx="287">
                  <c:v>269.92903699992911</c:v>
                </c:pt>
                <c:pt idx="288">
                  <c:v>271.81419999992664</c:v>
                </c:pt>
                <c:pt idx="289">
                  <c:v>271.81419999992664</c:v>
                </c:pt>
                <c:pt idx="290">
                  <c:v>273.70562599992422</c:v>
                </c:pt>
                <c:pt idx="291">
                  <c:v>273.70562599992422</c:v>
                </c:pt>
                <c:pt idx="292">
                  <c:v>275.59078899992181</c:v>
                </c:pt>
                <c:pt idx="293">
                  <c:v>275.59078899992181</c:v>
                </c:pt>
                <c:pt idx="294">
                  <c:v>277.4759519999194</c:v>
                </c:pt>
                <c:pt idx="295">
                  <c:v>277.4759519999194</c:v>
                </c:pt>
                <c:pt idx="296">
                  <c:v>279.36111499991694</c:v>
                </c:pt>
                <c:pt idx="297">
                  <c:v>279.36111499991694</c:v>
                </c:pt>
                <c:pt idx="298">
                  <c:v>281.24627799991453</c:v>
                </c:pt>
                <c:pt idx="299">
                  <c:v>281.24627799991453</c:v>
                </c:pt>
                <c:pt idx="300">
                  <c:v>283.13770399991211</c:v>
                </c:pt>
                <c:pt idx="301">
                  <c:v>283.13770399991211</c:v>
                </c:pt>
                <c:pt idx="302">
                  <c:v>285.01660399990971</c:v>
                </c:pt>
                <c:pt idx="303">
                  <c:v>285.01660399990971</c:v>
                </c:pt>
                <c:pt idx="304">
                  <c:v>286.90802999990723</c:v>
                </c:pt>
                <c:pt idx="305">
                  <c:v>286.90802999990723</c:v>
                </c:pt>
                <c:pt idx="306">
                  <c:v>288.79319299990482</c:v>
                </c:pt>
                <c:pt idx="307">
                  <c:v>288.79319299990482</c:v>
                </c:pt>
                <c:pt idx="308">
                  <c:v>290.67835599990241</c:v>
                </c:pt>
                <c:pt idx="309">
                  <c:v>290.67835599990241</c:v>
                </c:pt>
                <c:pt idx="310">
                  <c:v>292.55725599990001</c:v>
                </c:pt>
                <c:pt idx="311">
                  <c:v>292.55725599990001</c:v>
                </c:pt>
                <c:pt idx="312">
                  <c:v>294.44868199989753</c:v>
                </c:pt>
                <c:pt idx="313">
                  <c:v>294.44868199989753</c:v>
                </c:pt>
                <c:pt idx="314">
                  <c:v>296.33384499989512</c:v>
                </c:pt>
                <c:pt idx="315">
                  <c:v>296.33384499989512</c:v>
                </c:pt>
                <c:pt idx="316">
                  <c:v>298.21900799989271</c:v>
                </c:pt>
                <c:pt idx="317">
                  <c:v>298.21900799989271</c:v>
                </c:pt>
                <c:pt idx="318">
                  <c:v>300.1041709998903</c:v>
                </c:pt>
                <c:pt idx="319">
                  <c:v>300.1041709998903</c:v>
                </c:pt>
                <c:pt idx="320">
                  <c:v>301.99559699988788</c:v>
                </c:pt>
                <c:pt idx="321">
                  <c:v>301.99559699988788</c:v>
                </c:pt>
                <c:pt idx="322">
                  <c:v>303.8870229998854</c:v>
                </c:pt>
                <c:pt idx="323">
                  <c:v>303.8870229998854</c:v>
                </c:pt>
                <c:pt idx="324">
                  <c:v>305.77844899988298</c:v>
                </c:pt>
                <c:pt idx="325">
                  <c:v>305.77844899988298</c:v>
                </c:pt>
                <c:pt idx="326">
                  <c:v>307.66987499988056</c:v>
                </c:pt>
                <c:pt idx="327">
                  <c:v>307.66987499988056</c:v>
                </c:pt>
                <c:pt idx="328">
                  <c:v>309.55503799987815</c:v>
                </c:pt>
                <c:pt idx="329">
                  <c:v>309.55503799987815</c:v>
                </c:pt>
                <c:pt idx="330">
                  <c:v>311.44020099987569</c:v>
                </c:pt>
                <c:pt idx="331">
                  <c:v>311.44020099987569</c:v>
                </c:pt>
                <c:pt idx="332">
                  <c:v>313.32536399987328</c:v>
                </c:pt>
                <c:pt idx="333">
                  <c:v>313.32536399987328</c:v>
                </c:pt>
                <c:pt idx="334">
                  <c:v>315.21052699987086</c:v>
                </c:pt>
                <c:pt idx="335">
                  <c:v>315.21052699987086</c:v>
                </c:pt>
                <c:pt idx="336">
                  <c:v>317.10195299986844</c:v>
                </c:pt>
                <c:pt idx="337">
                  <c:v>317.10195299986844</c:v>
                </c:pt>
                <c:pt idx="338">
                  <c:v>318.98711599986598</c:v>
                </c:pt>
                <c:pt idx="339">
                  <c:v>318.98711599986598</c:v>
                </c:pt>
                <c:pt idx="340">
                  <c:v>320.87227899986357</c:v>
                </c:pt>
                <c:pt idx="341">
                  <c:v>320.87227899986357</c:v>
                </c:pt>
                <c:pt idx="342">
                  <c:v>322.75744199986116</c:v>
                </c:pt>
                <c:pt idx="343">
                  <c:v>322.75744199986116</c:v>
                </c:pt>
                <c:pt idx="344">
                  <c:v>324.64260499985875</c:v>
                </c:pt>
                <c:pt idx="345">
                  <c:v>324.64260499985875</c:v>
                </c:pt>
                <c:pt idx="346">
                  <c:v>326.52776799985628</c:v>
                </c:pt>
                <c:pt idx="347">
                  <c:v>326.52776799985628</c:v>
                </c:pt>
                <c:pt idx="348">
                  <c:v>328.41919399985386</c:v>
                </c:pt>
                <c:pt idx="349">
                  <c:v>328.41919399985386</c:v>
                </c:pt>
                <c:pt idx="350">
                  <c:v>330.31061999985144</c:v>
                </c:pt>
                <c:pt idx="351">
                  <c:v>330.31061999985144</c:v>
                </c:pt>
                <c:pt idx="352">
                  <c:v>332.20204599984902</c:v>
                </c:pt>
                <c:pt idx="353">
                  <c:v>332.20204599984902</c:v>
                </c:pt>
                <c:pt idx="354">
                  <c:v>334.09347199984654</c:v>
                </c:pt>
                <c:pt idx="355">
                  <c:v>334.09347199984654</c:v>
                </c:pt>
                <c:pt idx="356">
                  <c:v>335.97863499984413</c:v>
                </c:pt>
                <c:pt idx="357">
                  <c:v>335.97863499984413</c:v>
                </c:pt>
                <c:pt idx="358">
                  <c:v>337.86379799984172</c:v>
                </c:pt>
                <c:pt idx="359">
                  <c:v>337.86379799984172</c:v>
                </c:pt>
                <c:pt idx="360">
                  <c:v>339.74896099983931</c:v>
                </c:pt>
                <c:pt idx="361">
                  <c:v>339.74896099983931</c:v>
                </c:pt>
                <c:pt idx="362">
                  <c:v>341.63412399983685</c:v>
                </c:pt>
                <c:pt idx="363">
                  <c:v>341.63412399983685</c:v>
                </c:pt>
                <c:pt idx="364">
                  <c:v>343.52554999983442</c:v>
                </c:pt>
                <c:pt idx="365">
                  <c:v>343.52554999983442</c:v>
                </c:pt>
                <c:pt idx="366">
                  <c:v>345.416975999832</c:v>
                </c:pt>
                <c:pt idx="367">
                  <c:v>345.416975999832</c:v>
                </c:pt>
                <c:pt idx="368">
                  <c:v>347.30840199982958</c:v>
                </c:pt>
                <c:pt idx="369">
                  <c:v>347.30840199982958</c:v>
                </c:pt>
                <c:pt idx="370">
                  <c:v>349.19356499982717</c:v>
                </c:pt>
                <c:pt idx="371">
                  <c:v>349.19356499982717</c:v>
                </c:pt>
                <c:pt idx="372">
                  <c:v>351.07872799982471</c:v>
                </c:pt>
                <c:pt idx="373">
                  <c:v>351.07872799982471</c:v>
                </c:pt>
                <c:pt idx="374">
                  <c:v>352.9638909998223</c:v>
                </c:pt>
                <c:pt idx="375">
                  <c:v>352.9638909998223</c:v>
                </c:pt>
                <c:pt idx="376">
                  <c:v>354.84905399981989</c:v>
                </c:pt>
                <c:pt idx="377">
                  <c:v>354.84905399981989</c:v>
                </c:pt>
                <c:pt idx="378">
                  <c:v>356.73421699981748</c:v>
                </c:pt>
                <c:pt idx="379">
                  <c:v>356.73421699981748</c:v>
                </c:pt>
                <c:pt idx="380">
                  <c:v>358.61937999981501</c:v>
                </c:pt>
                <c:pt idx="381">
                  <c:v>358.61937999981501</c:v>
                </c:pt>
              </c:numCache>
            </c:numRef>
          </c:xVal>
          <c:yVal>
            <c:numRef>
              <c:f>pat_result!$J$2:$J$401</c:f>
              <c:numCache>
                <c:formatCode>General</c:formatCode>
                <c:ptCount val="400"/>
                <c:pt idx="0">
                  <c:v>0.65784382330566116</c:v>
                </c:pt>
                <c:pt idx="1">
                  <c:v>0.65784385705905224</c:v>
                </c:pt>
                <c:pt idx="2">
                  <c:v>0.65829667171449358</c:v>
                </c:pt>
                <c:pt idx="3">
                  <c:v>0.65829668857957979</c:v>
                </c:pt>
                <c:pt idx="4">
                  <c:v>0.65967827702851223</c:v>
                </c:pt>
                <c:pt idx="5">
                  <c:v>0.65967832751780453</c:v>
                </c:pt>
                <c:pt idx="6">
                  <c:v>0.66195768365802532</c:v>
                </c:pt>
                <c:pt idx="7">
                  <c:v>0.66195765011439911</c:v>
                </c:pt>
                <c:pt idx="8">
                  <c:v>0.66519264262482303</c:v>
                </c:pt>
                <c:pt idx="9">
                  <c:v>0.66519260924432588</c:v>
                </c:pt>
                <c:pt idx="10">
                  <c:v>0.66934705762159208</c:v>
                </c:pt>
                <c:pt idx="11">
                  <c:v>0.66934705762159208</c:v>
                </c:pt>
                <c:pt idx="12">
                  <c:v>0.67443705826558786</c:v>
                </c:pt>
                <c:pt idx="13">
                  <c:v>0.67443704180411057</c:v>
                </c:pt>
                <c:pt idx="14">
                  <c:v>0.68049469105139082</c:v>
                </c:pt>
                <c:pt idx="15">
                  <c:v>0.68049470736633089</c:v>
                </c:pt>
                <c:pt idx="16">
                  <c:v>0.68761918151225554</c:v>
                </c:pt>
                <c:pt idx="17">
                  <c:v>0.68761918151225554</c:v>
                </c:pt>
                <c:pt idx="18">
                  <c:v>0.69572556189567658</c:v>
                </c:pt>
                <c:pt idx="19">
                  <c:v>0.69572556189567658</c:v>
                </c:pt>
                <c:pt idx="20">
                  <c:v>0.7051148863024429</c:v>
                </c:pt>
                <c:pt idx="21">
                  <c:v>0.7051148863024429</c:v>
                </c:pt>
                <c:pt idx="22">
                  <c:v>0.71554051025484322</c:v>
                </c:pt>
                <c:pt idx="23">
                  <c:v>0.71554052577070848</c:v>
                </c:pt>
                <c:pt idx="24">
                  <c:v>0.72708923898293709</c:v>
                </c:pt>
                <c:pt idx="25">
                  <c:v>0.72708923898293709</c:v>
                </c:pt>
                <c:pt idx="26">
                  <c:v>0.73979373159868667</c:v>
                </c:pt>
                <c:pt idx="27">
                  <c:v>0.73979373159868667</c:v>
                </c:pt>
                <c:pt idx="28">
                  <c:v>0.75373774967259799</c:v>
                </c:pt>
                <c:pt idx="29">
                  <c:v>0.7537377054838974</c:v>
                </c:pt>
                <c:pt idx="30">
                  <c:v>0.76881511222390919</c:v>
                </c:pt>
                <c:pt idx="31">
                  <c:v>0.76881515554601521</c:v>
                </c:pt>
                <c:pt idx="32">
                  <c:v>0.78532481390585118</c:v>
                </c:pt>
                <c:pt idx="33">
                  <c:v>0.78532484218008847</c:v>
                </c:pt>
                <c:pt idx="34">
                  <c:v>0.8032277126752847</c:v>
                </c:pt>
                <c:pt idx="35">
                  <c:v>0.8032277126752847</c:v>
                </c:pt>
                <c:pt idx="36">
                  <c:v>0.82258360415715071</c:v>
                </c:pt>
                <c:pt idx="37">
                  <c:v>0.82258360415715071</c:v>
                </c:pt>
                <c:pt idx="38">
                  <c:v>0.84331074331627742</c:v>
                </c:pt>
                <c:pt idx="39">
                  <c:v>0.84331071698617188</c:v>
                </c:pt>
                <c:pt idx="40">
                  <c:v>0.86559389647205809</c:v>
                </c:pt>
                <c:pt idx="41">
                  <c:v>0.86559389647205809</c:v>
                </c:pt>
                <c:pt idx="42">
                  <c:v>0.88965936298604553</c:v>
                </c:pt>
                <c:pt idx="43">
                  <c:v>0.88965936298604553</c:v>
                </c:pt>
                <c:pt idx="44">
                  <c:v>0.91542496562179276</c:v>
                </c:pt>
                <c:pt idx="45">
                  <c:v>0.91542497774974474</c:v>
                </c:pt>
                <c:pt idx="46">
                  <c:v>0.94294851838043814</c:v>
                </c:pt>
                <c:pt idx="47">
                  <c:v>0.94294850660648644</c:v>
                </c:pt>
                <c:pt idx="48">
                  <c:v>0.97208177076898294</c:v>
                </c:pt>
                <c:pt idx="49">
                  <c:v>0.97208175934789609</c:v>
                </c:pt>
                <c:pt idx="50">
                  <c:v>1.0032565854664353</c:v>
                </c:pt>
                <c:pt idx="51">
                  <c:v>1.0032565965326274</c:v>
                </c:pt>
                <c:pt idx="52">
                  <c:v>1.0360914434774053</c:v>
                </c:pt>
                <c:pt idx="53">
                  <c:v>1.0360914434774053</c:v>
                </c:pt>
                <c:pt idx="54">
                  <c:v>1.071158797261754</c:v>
                </c:pt>
                <c:pt idx="55">
                  <c:v>1.0711587868970627</c:v>
                </c:pt>
                <c:pt idx="56">
                  <c:v>1.1077592290627878</c:v>
                </c:pt>
                <c:pt idx="57">
                  <c:v>1.1077592290627878</c:v>
                </c:pt>
                <c:pt idx="58">
                  <c:v>1.1464620500985019</c:v>
                </c:pt>
                <c:pt idx="59">
                  <c:v>1.1464620307306905</c:v>
                </c:pt>
                <c:pt idx="60">
                  <c:v>1.1868280801369464</c:v>
                </c:pt>
                <c:pt idx="61">
                  <c:v>1.1868280801369464</c:v>
                </c:pt>
                <c:pt idx="62">
                  <c:v>1.2287367056487206</c:v>
                </c:pt>
                <c:pt idx="63">
                  <c:v>1.2287367056487206</c:v>
                </c:pt>
                <c:pt idx="64">
                  <c:v>1.2726114768404033</c:v>
                </c:pt>
                <c:pt idx="65">
                  <c:v>1.2726114768404033</c:v>
                </c:pt>
                <c:pt idx="66">
                  <c:v>1.3173782979766124</c:v>
                </c:pt>
                <c:pt idx="67">
                  <c:v>1.3173783232591683</c:v>
                </c:pt>
                <c:pt idx="68">
                  <c:v>1.3635067748791414</c:v>
                </c:pt>
                <c:pt idx="69">
                  <c:v>1.3635067748791414</c:v>
                </c:pt>
                <c:pt idx="70">
                  <c:v>1.4102050453045964</c:v>
                </c:pt>
                <c:pt idx="71">
                  <c:v>1.4102050453045964</c:v>
                </c:pt>
                <c:pt idx="72">
                  <c:v>1.457366879970881</c:v>
                </c:pt>
                <c:pt idx="73">
                  <c:v>1.4573668647348683</c:v>
                </c:pt>
                <c:pt idx="74">
                  <c:v>1.5043412223332044</c:v>
                </c:pt>
                <c:pt idx="75">
                  <c:v>1.5043412370934595</c:v>
                </c:pt>
                <c:pt idx="76">
                  <c:v>1.5502502610918143</c:v>
                </c:pt>
                <c:pt idx="77">
                  <c:v>1.5502502610918143</c:v>
                </c:pt>
                <c:pt idx="78">
                  <c:v>1.5947699885174964</c:v>
                </c:pt>
                <c:pt idx="79">
                  <c:v>1.5947699745941968</c:v>
                </c:pt>
                <c:pt idx="80">
                  <c:v>1.6376142075353965</c:v>
                </c:pt>
                <c:pt idx="81">
                  <c:v>1.6376141804173359</c:v>
                </c:pt>
                <c:pt idx="82">
                  <c:v>1.677186244515914</c:v>
                </c:pt>
                <c:pt idx="83">
                  <c:v>1.6771862312767996</c:v>
                </c:pt>
                <c:pt idx="84">
                  <c:v>1.7133846913642266</c:v>
                </c:pt>
                <c:pt idx="85">
                  <c:v>1.713384678404813</c:v>
                </c:pt>
                <c:pt idx="86">
                  <c:v>1.7451649083291758</c:v>
                </c:pt>
                <c:pt idx="87">
                  <c:v>1.7451649210525926</c:v>
                </c:pt>
                <c:pt idx="88">
                  <c:v>1.771799381908602</c:v>
                </c:pt>
                <c:pt idx="89">
                  <c:v>1.7717993944407548</c:v>
                </c:pt>
                <c:pt idx="90">
                  <c:v>1.7925227870527649</c:v>
                </c:pt>
                <c:pt idx="91">
                  <c:v>1.792522799440033</c:v>
                </c:pt>
                <c:pt idx="92">
                  <c:v>1.8070078250181942</c:v>
                </c:pt>
                <c:pt idx="93">
                  <c:v>1.8070078250181942</c:v>
                </c:pt>
                <c:pt idx="94">
                  <c:v>1.8149070238261114</c:v>
                </c:pt>
                <c:pt idx="95">
                  <c:v>1.8149070360606006</c:v>
                </c:pt>
                <c:pt idx="96">
                  <c:v>1.8158894626900515</c:v>
                </c:pt>
                <c:pt idx="97">
                  <c:v>1.8158894626900515</c:v>
                </c:pt>
                <c:pt idx="98">
                  <c:v>1.8099284045976154</c:v>
                </c:pt>
                <c:pt idx="99">
                  <c:v>1.8099284168657583</c:v>
                </c:pt>
                <c:pt idx="100">
                  <c:v>1.79729122861858</c:v>
                </c:pt>
                <c:pt idx="101">
                  <c:v>1.7972912162641768</c:v>
                </c:pt>
                <c:pt idx="102">
                  <c:v>1.7782926797246044</c:v>
                </c:pt>
                <c:pt idx="103">
                  <c:v>1.7782926734814082</c:v>
                </c:pt>
                <c:pt idx="104">
                  <c:v>1.7531395828626546</c:v>
                </c:pt>
                <c:pt idx="105">
                  <c:v>1.7531395701971138</c:v>
                </c:pt>
                <c:pt idx="106">
                  <c:v>1.7227239502102365</c:v>
                </c:pt>
                <c:pt idx="107">
                  <c:v>1.722723963099394</c:v>
                </c:pt>
                <c:pt idx="108">
                  <c:v>1.6879269758565614</c:v>
                </c:pt>
                <c:pt idx="109">
                  <c:v>1.6879269890114319</c:v>
                </c:pt>
                <c:pt idx="110">
                  <c:v>1.6493110564615336</c:v>
                </c:pt>
                <c:pt idx="111">
                  <c:v>1.6493110564615336</c:v>
                </c:pt>
                <c:pt idx="112">
                  <c:v>1.6076404421169297</c:v>
                </c:pt>
                <c:pt idx="113">
                  <c:v>1.6076404283050971</c:v>
                </c:pt>
                <c:pt idx="114">
                  <c:v>1.5632171670063864</c:v>
                </c:pt>
                <c:pt idx="115">
                  <c:v>1.5632171599042186</c:v>
                </c:pt>
                <c:pt idx="116">
                  <c:v>1.5173316794268084</c:v>
                </c:pt>
                <c:pt idx="117">
                  <c:v>1.5173316501590339</c:v>
                </c:pt>
                <c:pt idx="118">
                  <c:v>1.470508966725109</c:v>
                </c:pt>
                <c:pt idx="119">
                  <c:v>1.470508966725109</c:v>
                </c:pt>
                <c:pt idx="120">
                  <c:v>1.423346024943777</c:v>
                </c:pt>
                <c:pt idx="121">
                  <c:v>1.423346024943777</c:v>
                </c:pt>
                <c:pt idx="122">
                  <c:v>1.3766715263455509</c:v>
                </c:pt>
                <c:pt idx="123">
                  <c:v>1.3766715102164597</c:v>
                </c:pt>
                <c:pt idx="124">
                  <c:v>1.330604686241609</c:v>
                </c:pt>
                <c:pt idx="125">
                  <c:v>1.330604702929105</c:v>
                </c:pt>
                <c:pt idx="126">
                  <c:v>1.2855012837404201</c:v>
                </c:pt>
                <c:pt idx="127">
                  <c:v>1.2855012837404201</c:v>
                </c:pt>
                <c:pt idx="128">
                  <c:v>1.2415025931847925</c:v>
                </c:pt>
                <c:pt idx="129">
                  <c:v>1.2415026110699428</c:v>
                </c:pt>
                <c:pt idx="130">
                  <c:v>1.1987068967638741</c:v>
                </c:pt>
                <c:pt idx="131">
                  <c:v>1.1987068689783567</c:v>
                </c:pt>
                <c:pt idx="132">
                  <c:v>1.1577128438504292</c:v>
                </c:pt>
                <c:pt idx="133">
                  <c:v>1.1577128438504292</c:v>
                </c:pt>
                <c:pt idx="134">
                  <c:v>1.118493914844495</c:v>
                </c:pt>
                <c:pt idx="135">
                  <c:v>1.1184939247705483</c:v>
                </c:pt>
                <c:pt idx="136">
                  <c:v>1.0811250567677839</c:v>
                </c:pt>
                <c:pt idx="137">
                  <c:v>1.0811250567677839</c:v>
                </c:pt>
                <c:pt idx="138">
                  <c:v>1.04564633466419</c:v>
                </c:pt>
                <c:pt idx="139">
                  <c:v>1.04564633466419</c:v>
                </c:pt>
                <c:pt idx="140">
                  <c:v>1.0120695255660515</c:v>
                </c:pt>
                <c:pt idx="141">
                  <c:v>1.0120695145962217</c:v>
                </c:pt>
                <c:pt idx="142">
                  <c:v>0.98048581981955119</c:v>
                </c:pt>
                <c:pt idx="143">
                  <c:v>0.98048580849635814</c:v>
                </c:pt>
                <c:pt idx="144">
                  <c:v>0.95084907433111931</c:v>
                </c:pt>
                <c:pt idx="145">
                  <c:v>0.95084907433111931</c:v>
                </c:pt>
                <c:pt idx="146">
                  <c:v>0.92283168010744343</c:v>
                </c:pt>
                <c:pt idx="147">
                  <c:v>0.92283166807683092</c:v>
                </c:pt>
                <c:pt idx="148">
                  <c:v>0.8965871928882243</c:v>
                </c:pt>
                <c:pt idx="149">
                  <c:v>0.8965871928882243</c:v>
                </c:pt>
                <c:pt idx="150">
                  <c:v>0.87205918906220936</c:v>
                </c:pt>
                <c:pt idx="151">
                  <c:v>0.87205921452431157</c:v>
                </c:pt>
                <c:pt idx="152">
                  <c:v>0.84926040961569293</c:v>
                </c:pt>
                <c:pt idx="153">
                  <c:v>0.8492604357613367</c:v>
                </c:pt>
                <c:pt idx="154">
                  <c:v>0.82797714556028135</c:v>
                </c:pt>
                <c:pt idx="155">
                  <c:v>0.82797711874255941</c:v>
                </c:pt>
                <c:pt idx="156">
                  <c:v>0.80828797934682173</c:v>
                </c:pt>
                <c:pt idx="157">
                  <c:v>0.80828795187584423</c:v>
                </c:pt>
                <c:pt idx="158">
                  <c:v>0.79011667357860083</c:v>
                </c:pt>
                <c:pt idx="159">
                  <c:v>0.79011670168136205</c:v>
                </c:pt>
                <c:pt idx="160">
                  <c:v>0.77322886446291539</c:v>
                </c:pt>
                <c:pt idx="161">
                  <c:v>0.77322886446291539</c:v>
                </c:pt>
                <c:pt idx="162">
                  <c:v>0.75779116507556388</c:v>
                </c:pt>
                <c:pt idx="163">
                  <c:v>0.75779116507556388</c:v>
                </c:pt>
                <c:pt idx="164">
                  <c:v>0.74354302344889467</c:v>
                </c:pt>
                <c:pt idx="165">
                  <c:v>0.74354302344889467</c:v>
                </c:pt>
                <c:pt idx="166">
                  <c:v>0.73062212283799166</c:v>
                </c:pt>
                <c:pt idx="167">
                  <c:v>0.73062212283799166</c:v>
                </c:pt>
                <c:pt idx="168">
                  <c:v>0.71888262703558514</c:v>
                </c:pt>
                <c:pt idx="169">
                  <c:v>0.71888262703558514</c:v>
                </c:pt>
                <c:pt idx="170">
                  <c:v>0.70828089301008601</c:v>
                </c:pt>
                <c:pt idx="171">
                  <c:v>0.70828089301008601</c:v>
                </c:pt>
                <c:pt idx="172">
                  <c:v>0.69871727581029963</c:v>
                </c:pt>
                <c:pt idx="173">
                  <c:v>0.69871725992085376</c:v>
                </c:pt>
                <c:pt idx="174">
                  <c:v>0.69022925004429936</c:v>
                </c:pt>
                <c:pt idx="175">
                  <c:v>0.6902292661291437</c:v>
                </c:pt>
                <c:pt idx="176">
                  <c:v>0.68282982277449289</c:v>
                </c:pt>
                <c:pt idx="177">
                  <c:v>0.68282979025619872</c:v>
                </c:pt>
                <c:pt idx="178">
                  <c:v>0.67639128266005855</c:v>
                </c:pt>
                <c:pt idx="179">
                  <c:v>0.67639129907397522</c:v>
                </c:pt>
                <c:pt idx="180">
                  <c:v>0.67094109452913209</c:v>
                </c:pt>
                <c:pt idx="181">
                  <c:v>0.67094112762363201</c:v>
                </c:pt>
                <c:pt idx="182">
                  <c:v>0.66648426532559435</c:v>
                </c:pt>
                <c:pt idx="183">
                  <c:v>0.66648426532559435</c:v>
                </c:pt>
                <c:pt idx="184">
                  <c:v>0.66294366862845044</c:v>
                </c:pt>
                <c:pt idx="185">
                  <c:v>0.66294363513471322</c:v>
                </c:pt>
                <c:pt idx="186">
                  <c:v>0.66033819545254246</c:v>
                </c:pt>
                <c:pt idx="187">
                  <c:v>0.66033819545254246</c:v>
                </c:pt>
                <c:pt idx="188">
                  <c:v>0.65865741825885527</c:v>
                </c:pt>
                <c:pt idx="189">
                  <c:v>0.65865741825885527</c:v>
                </c:pt>
                <c:pt idx="190">
                  <c:v>0.65789568334847159</c:v>
                </c:pt>
                <c:pt idx="191">
                  <c:v>0.65789568334847159</c:v>
                </c:pt>
                <c:pt idx="192">
                  <c:v>0.65804496277281188</c:v>
                </c:pt>
                <c:pt idx="193">
                  <c:v>0.65804494590127416</c:v>
                </c:pt>
                <c:pt idx="194">
                  <c:v>0.65910979190017671</c:v>
                </c:pt>
                <c:pt idx="195">
                  <c:v>0.65910979190017671</c:v>
                </c:pt>
                <c:pt idx="196">
                  <c:v>0.66108641839857041</c:v>
                </c:pt>
                <c:pt idx="197">
                  <c:v>0.66108645198640303</c:v>
                </c:pt>
                <c:pt idx="198">
                  <c:v>0.6639957930808289</c:v>
                </c:pt>
                <c:pt idx="199">
                  <c:v>0.66399577636049656</c:v>
                </c:pt>
                <c:pt idx="200">
                  <c:v>0.66783006450509474</c:v>
                </c:pt>
                <c:pt idx="201">
                  <c:v>0.66783006450509474</c:v>
                </c:pt>
                <c:pt idx="202">
                  <c:v>0.67261255180859436</c:v>
                </c:pt>
                <c:pt idx="203">
                  <c:v>0.67261256831472427</c:v>
                </c:pt>
                <c:pt idx="204">
                  <c:v>0.67834126834083563</c:v>
                </c:pt>
                <c:pt idx="205">
                  <c:v>0.67834126834083563</c:v>
                </c:pt>
                <c:pt idx="206">
                  <c:v>0.68507689535049976</c:v>
                </c:pt>
                <c:pt idx="207">
                  <c:v>0.68507692776213147</c:v>
                </c:pt>
                <c:pt idx="208">
                  <c:v>0.69280080143252987</c:v>
                </c:pt>
                <c:pt idx="209">
                  <c:v>0.69280078540738899</c:v>
                </c:pt>
                <c:pt idx="210">
                  <c:v>0.70162539591066708</c:v>
                </c:pt>
                <c:pt idx="211">
                  <c:v>0.70162539591066708</c:v>
                </c:pt>
                <c:pt idx="212">
                  <c:v>0.71150223581227812</c:v>
                </c:pt>
                <c:pt idx="213">
                  <c:v>0.71150220460441982</c:v>
                </c:pt>
                <c:pt idx="214">
                  <c:v>0.72253491901829203</c:v>
                </c:pt>
                <c:pt idx="215">
                  <c:v>0.72253488828695933</c:v>
                </c:pt>
                <c:pt idx="216">
                  <c:v>0.7347344791955428</c:v>
                </c:pt>
                <c:pt idx="217">
                  <c:v>0.7347344791955428</c:v>
                </c:pt>
                <c:pt idx="218">
                  <c:v>0.74810010562373108</c:v>
                </c:pt>
                <c:pt idx="219">
                  <c:v>0.7481000907831632</c:v>
                </c:pt>
                <c:pt idx="220">
                  <c:v>0.76271920738634835</c:v>
                </c:pt>
                <c:pt idx="221">
                  <c:v>0.76271923649858242</c:v>
                </c:pt>
                <c:pt idx="222">
                  <c:v>0.77864407723274953</c:v>
                </c:pt>
                <c:pt idx="223">
                  <c:v>0.77864410574957876</c:v>
                </c:pt>
                <c:pt idx="224">
                  <c:v>0.79593024816012259</c:v>
                </c:pt>
                <c:pt idx="225">
                  <c:v>0.79593024816012259</c:v>
                </c:pt>
                <c:pt idx="226">
                  <c:v>0.81463585256526672</c:v>
                </c:pt>
                <c:pt idx="227">
                  <c:v>0.81463585256526672</c:v>
                </c:pt>
                <c:pt idx="228">
                  <c:v>0.83475169216547995</c:v>
                </c:pt>
                <c:pt idx="229">
                  <c:v>0.83475166556540104</c:v>
                </c:pt>
                <c:pt idx="230">
                  <c:v>0.85654827270240108</c:v>
                </c:pt>
                <c:pt idx="231">
                  <c:v>0.85654827270240108</c:v>
                </c:pt>
                <c:pt idx="232">
                  <c:v>0.87995926785287137</c:v>
                </c:pt>
                <c:pt idx="233">
                  <c:v>0.87995929308638043</c:v>
                </c:pt>
                <c:pt idx="234">
                  <c:v>0.9049606712073528</c:v>
                </c:pt>
                <c:pt idx="235">
                  <c:v>0.90496072028011498</c:v>
                </c:pt>
                <c:pt idx="236">
                  <c:v>0.93168610425711251</c:v>
                </c:pt>
                <c:pt idx="237">
                  <c:v>0.93168609234083488</c:v>
                </c:pt>
                <c:pt idx="238">
                  <c:v>0.96018964281952834</c:v>
                </c:pt>
                <c:pt idx="239">
                  <c:v>0.9601896312569892</c:v>
                </c:pt>
                <c:pt idx="240">
                  <c:v>0.99062211356396668</c:v>
                </c:pt>
                <c:pt idx="241">
                  <c:v>0.99062207994197204</c:v>
                </c:pt>
                <c:pt idx="242">
                  <c:v>1.0229287815082921</c:v>
                </c:pt>
                <c:pt idx="243">
                  <c:v>1.0229287923616677</c:v>
                </c:pt>
                <c:pt idx="244">
                  <c:v>1.0570160203448355</c:v>
                </c:pt>
                <c:pt idx="245">
                  <c:v>1.0570160203448355</c:v>
                </c:pt>
                <c:pt idx="246">
                  <c:v>1.0929914893524231</c:v>
                </c:pt>
                <c:pt idx="247">
                  <c:v>1.0929914893524231</c:v>
                </c:pt>
                <c:pt idx="248">
                  <c:v>1.1307063273375095</c:v>
                </c:pt>
                <c:pt idx="249">
                  <c:v>1.1307063371563546</c:v>
                </c:pt>
                <c:pt idx="250">
                  <c:v>1.1704969211234908</c:v>
                </c:pt>
                <c:pt idx="251">
                  <c:v>1.1704969116384334</c:v>
                </c:pt>
                <c:pt idx="252">
                  <c:v>1.2117499044353892</c:v>
                </c:pt>
                <c:pt idx="253">
                  <c:v>1.2117499044353892</c:v>
                </c:pt>
                <c:pt idx="254">
                  <c:v>1.2547387480521532</c:v>
                </c:pt>
                <c:pt idx="255">
                  <c:v>1.2547387480521532</c:v>
                </c:pt>
                <c:pt idx="256">
                  <c:v>1.2989965638476118</c:v>
                </c:pt>
                <c:pt idx="257">
                  <c:v>1.2989965638476118</c:v>
                </c:pt>
                <c:pt idx="258">
                  <c:v>1.3444239553719926</c:v>
                </c:pt>
                <c:pt idx="259">
                  <c:v>1.3444239636299757</c:v>
                </c:pt>
                <c:pt idx="260">
                  <c:v>1.3910257849856849</c:v>
                </c:pt>
                <c:pt idx="261">
                  <c:v>1.3910257849856849</c:v>
                </c:pt>
                <c:pt idx="262">
                  <c:v>1.4381168503325699</c:v>
                </c:pt>
                <c:pt idx="263">
                  <c:v>1.4381168426125921</c:v>
                </c:pt>
                <c:pt idx="264">
                  <c:v>1.4850773270753403</c:v>
                </c:pt>
                <c:pt idx="265">
                  <c:v>1.4850773345512003</c:v>
                </c:pt>
                <c:pt idx="266">
                  <c:v>1.5315242338816728</c:v>
                </c:pt>
                <c:pt idx="267">
                  <c:v>1.5315242483799487</c:v>
                </c:pt>
                <c:pt idx="268">
                  <c:v>1.5769917212144358</c:v>
                </c:pt>
                <c:pt idx="269">
                  <c:v>1.5769917352947003</c:v>
                </c:pt>
                <c:pt idx="270">
                  <c:v>1.6206365785001111</c:v>
                </c:pt>
                <c:pt idx="271">
                  <c:v>1.6206365647990377</c:v>
                </c:pt>
                <c:pt idx="272">
                  <c:v>1.6617176292976377</c:v>
                </c:pt>
                <c:pt idx="273">
                  <c:v>1.6617176159352829</c:v>
                </c:pt>
                <c:pt idx="274">
                  <c:v>1.6993430525971984</c:v>
                </c:pt>
                <c:pt idx="275">
                  <c:v>1.6993430656636952</c:v>
                </c:pt>
                <c:pt idx="276">
                  <c:v>1.7329873481881917</c:v>
                </c:pt>
                <c:pt idx="277">
                  <c:v>1.7329873610010147</c:v>
                </c:pt>
                <c:pt idx="278">
                  <c:v>1.7617704218368766</c:v>
                </c:pt>
                <c:pt idx="279">
                  <c:v>1.7617704218368766</c:v>
                </c:pt>
                <c:pt idx="280">
                  <c:v>1.7850080990357458</c:v>
                </c:pt>
                <c:pt idx="281">
                  <c:v>1.7850080990357458</c:v>
                </c:pt>
                <c:pt idx="282">
                  <c:v>1.8020721578262742</c:v>
                </c:pt>
                <c:pt idx="283">
                  <c:v>1.8020721701479008</c:v>
                </c:pt>
                <c:pt idx="284">
                  <c:v>1.8126071955035841</c:v>
                </c:pt>
                <c:pt idx="285">
                  <c:v>1.8126071955035841</c:v>
                </c:pt>
                <c:pt idx="286">
                  <c:v>1.816333005081572</c:v>
                </c:pt>
                <c:pt idx="287">
                  <c:v>1.816333005081572</c:v>
                </c:pt>
                <c:pt idx="288">
                  <c:v>1.8131491224153553</c:v>
                </c:pt>
                <c:pt idx="289">
                  <c:v>1.8131491346617061</c:v>
                </c:pt>
                <c:pt idx="290">
                  <c:v>1.8030970873203727</c:v>
                </c:pt>
                <c:pt idx="291">
                  <c:v>1.8030970996349955</c:v>
                </c:pt>
                <c:pt idx="292">
                  <c:v>1.7865110497708925</c:v>
                </c:pt>
                <c:pt idx="293">
                  <c:v>1.7865110497708925</c:v>
                </c:pt>
                <c:pt idx="294">
                  <c:v>1.7637995373536328</c:v>
                </c:pt>
                <c:pt idx="295">
                  <c:v>1.7637995247646396</c:v>
                </c:pt>
                <c:pt idx="296">
                  <c:v>1.7355297959740144</c:v>
                </c:pt>
                <c:pt idx="297">
                  <c:v>1.7355297959740144</c:v>
                </c:pt>
                <c:pt idx="298">
                  <c:v>1.7023725047191312</c:v>
                </c:pt>
                <c:pt idx="299">
                  <c:v>1.7023724916758867</c:v>
                </c:pt>
                <c:pt idx="300">
                  <c:v>1.664935469243356</c:v>
                </c:pt>
                <c:pt idx="301">
                  <c:v>1.6649354559068266</c:v>
                </c:pt>
                <c:pt idx="302">
                  <c:v>1.6243775861129921</c:v>
                </c:pt>
                <c:pt idx="303">
                  <c:v>1.6243775861129921</c:v>
                </c:pt>
                <c:pt idx="304">
                  <c:v>1.5809286123296598</c:v>
                </c:pt>
                <c:pt idx="305">
                  <c:v>1.5809285982844583</c:v>
                </c:pt>
                <c:pt idx="306">
                  <c:v>1.5357459023052868</c:v>
                </c:pt>
                <c:pt idx="307">
                  <c:v>1.5357458950760765</c:v>
                </c:pt>
                <c:pt idx="308">
                  <c:v>1.48937588563096</c:v>
                </c:pt>
                <c:pt idx="309">
                  <c:v>1.4893758781766762</c:v>
                </c:pt>
                <c:pt idx="310">
                  <c:v>1.4425952077469983</c:v>
                </c:pt>
                <c:pt idx="311">
                  <c:v>1.4425952077469983</c:v>
                </c:pt>
                <c:pt idx="312">
                  <c:v>1.39548058802699</c:v>
                </c:pt>
                <c:pt idx="313">
                  <c:v>1.39548058802699</c:v>
                </c:pt>
                <c:pt idx="314">
                  <c:v>1.3489678786136763</c:v>
                </c:pt>
                <c:pt idx="315">
                  <c:v>1.3489678786136763</c:v>
                </c:pt>
                <c:pt idx="316">
                  <c:v>1.303290340910507</c:v>
                </c:pt>
                <c:pt idx="317">
                  <c:v>1.303290315354658</c:v>
                </c:pt>
                <c:pt idx="318">
                  <c:v>1.2587636836028469</c:v>
                </c:pt>
                <c:pt idx="319">
                  <c:v>1.2587636836028469</c:v>
                </c:pt>
                <c:pt idx="320">
                  <c:v>1.2154952913692396</c:v>
                </c:pt>
                <c:pt idx="321">
                  <c:v>1.2154952913692396</c:v>
                </c:pt>
                <c:pt idx="322">
                  <c:v>1.1738246328600492</c:v>
                </c:pt>
                <c:pt idx="323">
                  <c:v>1.1738246139437138</c:v>
                </c:pt>
                <c:pt idx="324">
                  <c:v>1.1338878995079118</c:v>
                </c:pt>
                <c:pt idx="325">
                  <c:v>1.1338878799253227</c:v>
                </c:pt>
                <c:pt idx="326">
                  <c:v>1.0957759546997794</c:v>
                </c:pt>
                <c:pt idx="327">
                  <c:v>1.0957759648316225</c:v>
                </c:pt>
                <c:pt idx="328">
                  <c:v>1.059658809522684</c:v>
                </c:pt>
                <c:pt idx="329">
                  <c:v>1.0596588409542071</c:v>
                </c:pt>
                <c:pt idx="330">
                  <c:v>1.0254293059797839</c:v>
                </c:pt>
                <c:pt idx="331">
                  <c:v>1.0254293059797839</c:v>
                </c:pt>
                <c:pt idx="332">
                  <c:v>0.9930852022925355</c:v>
                </c:pt>
                <c:pt idx="333">
                  <c:v>0.99308519111300098</c:v>
                </c:pt>
                <c:pt idx="334">
                  <c:v>0.96260526771638366</c:v>
                </c:pt>
                <c:pt idx="335">
                  <c:v>0.96260526771638366</c:v>
                </c:pt>
                <c:pt idx="336">
                  <c:v>0.93386165719226399</c:v>
                </c:pt>
                <c:pt idx="337">
                  <c:v>0.93386164530374693</c:v>
                </c:pt>
                <c:pt idx="338">
                  <c:v>0.90699833193220736</c:v>
                </c:pt>
                <c:pt idx="339">
                  <c:v>0.90699835641346549</c:v>
                </c:pt>
                <c:pt idx="340">
                  <c:v>0.88186348559443895</c:v>
                </c:pt>
                <c:pt idx="341">
                  <c:v>0.88186351077346103</c:v>
                </c:pt>
                <c:pt idx="342">
                  <c:v>0.85839862833464486</c:v>
                </c:pt>
                <c:pt idx="343">
                  <c:v>0.85839862833464486</c:v>
                </c:pt>
                <c:pt idx="344">
                  <c:v>0.83654252337808954</c:v>
                </c:pt>
                <c:pt idx="345">
                  <c:v>0.83654249683495485</c:v>
                </c:pt>
                <c:pt idx="346">
                  <c:v>0.81623317721874444</c:v>
                </c:pt>
                <c:pt idx="347">
                  <c:v>0.81623317721874444</c:v>
                </c:pt>
                <c:pt idx="348">
                  <c:v>0.79734847893543004</c:v>
                </c:pt>
                <c:pt idx="349">
                  <c:v>0.79734847893543004</c:v>
                </c:pt>
                <c:pt idx="350">
                  <c:v>0.77989743826927949</c:v>
                </c:pt>
                <c:pt idx="351">
                  <c:v>0.77989735285627271</c:v>
                </c:pt>
                <c:pt idx="352">
                  <c:v>0.76382093567064269</c:v>
                </c:pt>
                <c:pt idx="353">
                  <c:v>0.76382096474088557</c:v>
                </c:pt>
                <c:pt idx="354">
                  <c:v>0.7490629060378281</c:v>
                </c:pt>
                <c:pt idx="355">
                  <c:v>0.74906292085932036</c:v>
                </c:pt>
                <c:pt idx="356">
                  <c:v>0.73561287343881898</c:v>
                </c:pt>
                <c:pt idx="357">
                  <c:v>0.73561287343881898</c:v>
                </c:pt>
                <c:pt idx="358">
                  <c:v>0.72337063524988665</c:v>
                </c:pt>
                <c:pt idx="359">
                  <c:v>0.72337057385822823</c:v>
                </c:pt>
                <c:pt idx="360">
                  <c:v>0.712290562088432</c:v>
                </c:pt>
                <c:pt idx="361">
                  <c:v>0.71229054650177248</c:v>
                </c:pt>
                <c:pt idx="362">
                  <c:v>0.70233093137792557</c:v>
                </c:pt>
                <c:pt idx="363">
                  <c:v>0.70233096299330655</c:v>
                </c:pt>
                <c:pt idx="364">
                  <c:v>0.69342604463425939</c:v>
                </c:pt>
                <c:pt idx="365">
                  <c:v>0.69342604463425939</c:v>
                </c:pt>
                <c:pt idx="366">
                  <c:v>0.68557619286294857</c:v>
                </c:pt>
                <c:pt idx="367">
                  <c:v>0.68557622525097517</c:v>
                </c:pt>
                <c:pt idx="368">
                  <c:v>0.67875078768009312</c:v>
                </c:pt>
                <c:pt idx="369">
                  <c:v>0.67875078768009312</c:v>
                </c:pt>
                <c:pt idx="370">
                  <c:v>0.67294066316338363</c:v>
                </c:pt>
                <c:pt idx="371">
                  <c:v>0.67294066316338363</c:v>
                </c:pt>
                <c:pt idx="372">
                  <c:v>0.66809884252838692</c:v>
                </c:pt>
                <c:pt idx="373">
                  <c:v>0.66809884252838692</c:v>
                </c:pt>
                <c:pt idx="374">
                  <c:v>0.66420621855976603</c:v>
                </c:pt>
                <c:pt idx="375">
                  <c:v>0.66420621855976603</c:v>
                </c:pt>
                <c:pt idx="376">
                  <c:v>0.66124746923658506</c:v>
                </c:pt>
                <c:pt idx="377">
                  <c:v>0.66124751960606254</c:v>
                </c:pt>
                <c:pt idx="378">
                  <c:v>0.65921098456975802</c:v>
                </c:pt>
                <c:pt idx="379">
                  <c:v>0.65921098456975802</c:v>
                </c:pt>
                <c:pt idx="380">
                  <c:v>0.65808859112246165</c:v>
                </c:pt>
                <c:pt idx="381">
                  <c:v>0.65808855738162275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E454-49FE-809F-D5B4A31FCE39}"/>
            </c:ext>
          </c:extLst>
        </c:ser>
        <c:ser>
          <c:idx val="3"/>
          <c:order val="1"/>
          <c:tx>
            <c:strRef>
              <c:f>DTDRpat_result0!$C$1</c:f>
              <c:strCache>
                <c:ptCount val="1"/>
                <c:pt idx="0">
                  <c:v>F=4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>
                <a:noFill/>
              </a:ln>
            </c:spPr>
          </c:marker>
          <c:xVal>
            <c:numRef>
              <c:f>DTDRpat_result0!$B$2:$B$383</c:f>
              <c:numCache>
                <c:formatCode>General</c:formatCode>
                <c:ptCount val="382"/>
                <c:pt idx="0">
                  <c:v>6.2630000000000012E-3</c:v>
                </c:pt>
                <c:pt idx="1">
                  <c:v>6.2630000000000012E-3</c:v>
                </c:pt>
                <c:pt idx="2">
                  <c:v>1.8851630000000021</c:v>
                </c:pt>
                <c:pt idx="3">
                  <c:v>1.8851630000000021</c:v>
                </c:pt>
                <c:pt idx="4">
                  <c:v>3.7891150000000429</c:v>
                </c:pt>
                <c:pt idx="5">
                  <c:v>3.7891150000000429</c:v>
                </c:pt>
                <c:pt idx="6">
                  <c:v>5.6680149999999898</c:v>
                </c:pt>
                <c:pt idx="7">
                  <c:v>5.6680149999999898</c:v>
                </c:pt>
                <c:pt idx="8">
                  <c:v>7.5657039999999816</c:v>
                </c:pt>
                <c:pt idx="9">
                  <c:v>7.5657039999999816</c:v>
                </c:pt>
                <c:pt idx="10">
                  <c:v>9.4508670000001374</c:v>
                </c:pt>
                <c:pt idx="11">
                  <c:v>9.4508670000001374</c:v>
                </c:pt>
                <c:pt idx="12">
                  <c:v>11.329767000000343</c:v>
                </c:pt>
                <c:pt idx="13">
                  <c:v>11.329767000000343</c:v>
                </c:pt>
                <c:pt idx="14">
                  <c:v>13.208667000000569</c:v>
                </c:pt>
                <c:pt idx="15">
                  <c:v>13.208667000000569</c:v>
                </c:pt>
                <c:pt idx="16">
                  <c:v>15.106356000000735</c:v>
                </c:pt>
                <c:pt idx="17">
                  <c:v>15.106356000000735</c:v>
                </c:pt>
                <c:pt idx="18">
                  <c:v>16.991519000000864</c:v>
                </c:pt>
                <c:pt idx="19">
                  <c:v>16.991519000000864</c:v>
                </c:pt>
                <c:pt idx="20">
                  <c:v>18.920523000001062</c:v>
                </c:pt>
                <c:pt idx="21">
                  <c:v>18.920523000001062</c:v>
                </c:pt>
                <c:pt idx="22">
                  <c:v>20.830738000001276</c:v>
                </c:pt>
                <c:pt idx="23">
                  <c:v>20.830738000001276</c:v>
                </c:pt>
                <c:pt idx="24">
                  <c:v>22.734690000001489</c:v>
                </c:pt>
                <c:pt idx="25">
                  <c:v>22.734690000001489</c:v>
                </c:pt>
                <c:pt idx="26">
                  <c:v>24.632379000001709</c:v>
                </c:pt>
                <c:pt idx="27">
                  <c:v>24.632379000001709</c:v>
                </c:pt>
                <c:pt idx="28">
                  <c:v>26.530068000001961</c:v>
                </c:pt>
                <c:pt idx="29">
                  <c:v>26.530068000001961</c:v>
                </c:pt>
                <c:pt idx="30">
                  <c:v>28.408968000002208</c:v>
                </c:pt>
                <c:pt idx="31">
                  <c:v>28.408968000002208</c:v>
                </c:pt>
                <c:pt idx="32">
                  <c:v>30.300394000002274</c:v>
                </c:pt>
                <c:pt idx="33">
                  <c:v>30.300394000002274</c:v>
                </c:pt>
                <c:pt idx="34">
                  <c:v>32.191820000002224</c:v>
                </c:pt>
                <c:pt idx="35">
                  <c:v>32.191820000002224</c:v>
                </c:pt>
                <c:pt idx="36">
                  <c:v>34.083246000001388</c:v>
                </c:pt>
                <c:pt idx="37">
                  <c:v>34.083246000001388</c:v>
                </c:pt>
                <c:pt idx="38">
                  <c:v>35.962146000000565</c:v>
                </c:pt>
                <c:pt idx="39">
                  <c:v>35.962146000000565</c:v>
                </c:pt>
                <c:pt idx="40">
                  <c:v>37.841045999999736</c:v>
                </c:pt>
                <c:pt idx="41">
                  <c:v>37.841045999999736</c:v>
                </c:pt>
                <c:pt idx="42">
                  <c:v>39.732471999998907</c:v>
                </c:pt>
                <c:pt idx="43">
                  <c:v>39.732471999998907</c:v>
                </c:pt>
                <c:pt idx="44">
                  <c:v>41.623897999998071</c:v>
                </c:pt>
                <c:pt idx="45">
                  <c:v>41.623897999998071</c:v>
                </c:pt>
                <c:pt idx="46">
                  <c:v>43.515323999997243</c:v>
                </c:pt>
                <c:pt idx="47">
                  <c:v>43.515323999997243</c:v>
                </c:pt>
                <c:pt idx="48">
                  <c:v>45.394223999996413</c:v>
                </c:pt>
                <c:pt idx="49">
                  <c:v>45.394223999996413</c:v>
                </c:pt>
                <c:pt idx="50">
                  <c:v>47.285649999995584</c:v>
                </c:pt>
                <c:pt idx="51">
                  <c:v>47.285649999995584</c:v>
                </c:pt>
                <c:pt idx="52">
                  <c:v>49.164549999994755</c:v>
                </c:pt>
                <c:pt idx="53">
                  <c:v>49.164549999994755</c:v>
                </c:pt>
                <c:pt idx="54">
                  <c:v>51.062238999993923</c:v>
                </c:pt>
                <c:pt idx="55">
                  <c:v>51.062238999993923</c:v>
                </c:pt>
                <c:pt idx="56">
                  <c:v>52.9411389999931</c:v>
                </c:pt>
                <c:pt idx="57">
                  <c:v>52.9411389999931</c:v>
                </c:pt>
                <c:pt idx="58">
                  <c:v>54.832564999992265</c:v>
                </c:pt>
                <c:pt idx="59">
                  <c:v>54.832564999992265</c:v>
                </c:pt>
                <c:pt idx="60">
                  <c:v>56.717727999991439</c:v>
                </c:pt>
                <c:pt idx="61">
                  <c:v>56.717727999991439</c:v>
                </c:pt>
                <c:pt idx="62">
                  <c:v>58.59662799999041</c:v>
                </c:pt>
                <c:pt idx="63">
                  <c:v>58.59662799999041</c:v>
                </c:pt>
                <c:pt idx="64">
                  <c:v>60.494316999989287</c:v>
                </c:pt>
                <c:pt idx="65">
                  <c:v>60.494316999989287</c:v>
                </c:pt>
                <c:pt idx="66">
                  <c:v>62.37321699998818</c:v>
                </c:pt>
                <c:pt idx="67">
                  <c:v>62.37321699998818</c:v>
                </c:pt>
                <c:pt idx="68">
                  <c:v>64.264642999987458</c:v>
                </c:pt>
                <c:pt idx="69">
                  <c:v>64.264642999987458</c:v>
                </c:pt>
                <c:pt idx="70">
                  <c:v>66.149805999988899</c:v>
                </c:pt>
                <c:pt idx="71">
                  <c:v>66.149805999988899</c:v>
                </c:pt>
                <c:pt idx="72">
                  <c:v>68.04123199999033</c:v>
                </c:pt>
                <c:pt idx="73">
                  <c:v>68.04123199999033</c:v>
                </c:pt>
                <c:pt idx="74">
                  <c:v>69.932657999992031</c:v>
                </c:pt>
                <c:pt idx="75">
                  <c:v>69.932657999992031</c:v>
                </c:pt>
                <c:pt idx="76">
                  <c:v>71.811557999993852</c:v>
                </c:pt>
                <c:pt idx="77">
                  <c:v>71.811557999993852</c:v>
                </c:pt>
                <c:pt idx="78">
                  <c:v>73.690457999995672</c:v>
                </c:pt>
                <c:pt idx="79">
                  <c:v>73.690457999995672</c:v>
                </c:pt>
                <c:pt idx="80">
                  <c:v>75.588146999997534</c:v>
                </c:pt>
                <c:pt idx="81">
                  <c:v>75.588146999997534</c:v>
                </c:pt>
                <c:pt idx="82">
                  <c:v>77.467046999999354</c:v>
                </c:pt>
                <c:pt idx="83">
                  <c:v>77.467046999999354</c:v>
                </c:pt>
                <c:pt idx="84">
                  <c:v>79.358473000001183</c:v>
                </c:pt>
                <c:pt idx="85">
                  <c:v>79.358473000001183</c:v>
                </c:pt>
                <c:pt idx="86">
                  <c:v>81.24989900000304</c:v>
                </c:pt>
                <c:pt idx="87">
                  <c:v>81.24989900000304</c:v>
                </c:pt>
                <c:pt idx="88">
                  <c:v>83.141325000004883</c:v>
                </c:pt>
                <c:pt idx="89">
                  <c:v>83.141325000004883</c:v>
                </c:pt>
                <c:pt idx="90">
                  <c:v>85.020225000006718</c:v>
                </c:pt>
                <c:pt idx="91">
                  <c:v>85.020225000006718</c:v>
                </c:pt>
                <c:pt idx="92">
                  <c:v>86.899125000008539</c:v>
                </c:pt>
                <c:pt idx="93">
                  <c:v>86.899125000008539</c:v>
                </c:pt>
                <c:pt idx="94">
                  <c:v>88.790551000010367</c:v>
                </c:pt>
                <c:pt idx="95">
                  <c:v>88.790551000010367</c:v>
                </c:pt>
                <c:pt idx="96">
                  <c:v>90.681977000012225</c:v>
                </c:pt>
                <c:pt idx="97">
                  <c:v>90.681977000012225</c:v>
                </c:pt>
                <c:pt idx="98">
                  <c:v>92.573403000014096</c:v>
                </c:pt>
                <c:pt idx="99">
                  <c:v>92.573403000014096</c:v>
                </c:pt>
                <c:pt idx="100">
                  <c:v>94.452303000016087</c:v>
                </c:pt>
                <c:pt idx="101">
                  <c:v>94.452303000016087</c:v>
                </c:pt>
                <c:pt idx="102">
                  <c:v>96.331203000018064</c:v>
                </c:pt>
                <c:pt idx="103">
                  <c:v>96.331203000018064</c:v>
                </c:pt>
                <c:pt idx="104">
                  <c:v>98.228892000020082</c:v>
                </c:pt>
                <c:pt idx="105">
                  <c:v>98.228892000020082</c:v>
                </c:pt>
                <c:pt idx="106">
                  <c:v>100.12031800002208</c:v>
                </c:pt>
                <c:pt idx="107">
                  <c:v>100.12031800002208</c:v>
                </c:pt>
                <c:pt idx="108">
                  <c:v>101.99921800002406</c:v>
                </c:pt>
                <c:pt idx="109">
                  <c:v>101.99921800002406</c:v>
                </c:pt>
                <c:pt idx="110">
                  <c:v>103.87811800002605</c:v>
                </c:pt>
                <c:pt idx="111">
                  <c:v>103.87811800002605</c:v>
                </c:pt>
                <c:pt idx="112">
                  <c:v>105.75701800002803</c:v>
                </c:pt>
                <c:pt idx="113">
                  <c:v>105.75701800002803</c:v>
                </c:pt>
                <c:pt idx="114">
                  <c:v>107.65470700003004</c:v>
                </c:pt>
                <c:pt idx="115">
                  <c:v>107.65470700003004</c:v>
                </c:pt>
                <c:pt idx="116">
                  <c:v>109.54613300003204</c:v>
                </c:pt>
                <c:pt idx="117">
                  <c:v>109.54613300003204</c:v>
                </c:pt>
                <c:pt idx="118">
                  <c:v>111.43755900003404</c:v>
                </c:pt>
                <c:pt idx="119">
                  <c:v>111.43755900003404</c:v>
                </c:pt>
                <c:pt idx="120">
                  <c:v>113.32898500003604</c:v>
                </c:pt>
                <c:pt idx="121">
                  <c:v>113.32898500003604</c:v>
                </c:pt>
                <c:pt idx="122">
                  <c:v>115.20788500003803</c:v>
                </c:pt>
                <c:pt idx="123">
                  <c:v>115.20788500003803</c:v>
                </c:pt>
                <c:pt idx="124">
                  <c:v>117.08678500003998</c:v>
                </c:pt>
                <c:pt idx="125">
                  <c:v>117.08678500003998</c:v>
                </c:pt>
                <c:pt idx="126">
                  <c:v>118.96568500004193</c:v>
                </c:pt>
                <c:pt idx="127">
                  <c:v>118.96568500004193</c:v>
                </c:pt>
                <c:pt idx="128">
                  <c:v>120.85084800004387</c:v>
                </c:pt>
                <c:pt idx="129">
                  <c:v>120.85084800004387</c:v>
                </c:pt>
                <c:pt idx="130">
                  <c:v>122.74853700004584</c:v>
                </c:pt>
                <c:pt idx="131">
                  <c:v>122.74853700004584</c:v>
                </c:pt>
                <c:pt idx="132">
                  <c:v>124.6399630000478</c:v>
                </c:pt>
                <c:pt idx="133">
                  <c:v>124.6399630000478</c:v>
                </c:pt>
                <c:pt idx="134">
                  <c:v>126.53138900004976</c:v>
                </c:pt>
                <c:pt idx="135">
                  <c:v>126.53138900004976</c:v>
                </c:pt>
                <c:pt idx="136">
                  <c:v>128.42281500005069</c:v>
                </c:pt>
                <c:pt idx="137">
                  <c:v>128.42281500005069</c:v>
                </c:pt>
                <c:pt idx="138">
                  <c:v>130.31424100004827</c:v>
                </c:pt>
                <c:pt idx="139">
                  <c:v>130.31424100004827</c:v>
                </c:pt>
                <c:pt idx="140">
                  <c:v>132.20566700004582</c:v>
                </c:pt>
                <c:pt idx="141">
                  <c:v>132.20566700004582</c:v>
                </c:pt>
                <c:pt idx="142">
                  <c:v>134.09083000004341</c:v>
                </c:pt>
                <c:pt idx="143">
                  <c:v>134.09083000004341</c:v>
                </c:pt>
                <c:pt idx="144">
                  <c:v>135.96973000004098</c:v>
                </c:pt>
                <c:pt idx="145">
                  <c:v>135.96973000004098</c:v>
                </c:pt>
                <c:pt idx="146">
                  <c:v>137.86115600003856</c:v>
                </c:pt>
                <c:pt idx="147">
                  <c:v>137.86115600003856</c:v>
                </c:pt>
                <c:pt idx="148">
                  <c:v>139.75258200003611</c:v>
                </c:pt>
                <c:pt idx="149">
                  <c:v>139.75258200003611</c:v>
                </c:pt>
                <c:pt idx="150">
                  <c:v>141.64400800003369</c:v>
                </c:pt>
                <c:pt idx="151">
                  <c:v>141.64400800003369</c:v>
                </c:pt>
                <c:pt idx="152">
                  <c:v>143.52917100003125</c:v>
                </c:pt>
                <c:pt idx="153">
                  <c:v>143.52917100003125</c:v>
                </c:pt>
                <c:pt idx="154">
                  <c:v>145.42059700002883</c:v>
                </c:pt>
                <c:pt idx="155">
                  <c:v>145.42059700002883</c:v>
                </c:pt>
                <c:pt idx="156">
                  <c:v>147.30576000002642</c:v>
                </c:pt>
                <c:pt idx="157">
                  <c:v>147.30576000002642</c:v>
                </c:pt>
                <c:pt idx="158">
                  <c:v>149.184660000024</c:v>
                </c:pt>
                <c:pt idx="159">
                  <c:v>149.184660000024</c:v>
                </c:pt>
                <c:pt idx="160">
                  <c:v>151.07608600002158</c:v>
                </c:pt>
                <c:pt idx="161">
                  <c:v>151.07608600002158</c:v>
                </c:pt>
                <c:pt idx="162">
                  <c:v>152.95498600001915</c:v>
                </c:pt>
                <c:pt idx="163">
                  <c:v>152.95498600001915</c:v>
                </c:pt>
                <c:pt idx="164">
                  <c:v>154.8464120000167</c:v>
                </c:pt>
                <c:pt idx="165">
                  <c:v>154.8464120000167</c:v>
                </c:pt>
                <c:pt idx="166">
                  <c:v>156.7253120000143</c:v>
                </c:pt>
                <c:pt idx="167">
                  <c:v>156.7253120000143</c:v>
                </c:pt>
                <c:pt idx="168">
                  <c:v>158.60421200001187</c:v>
                </c:pt>
                <c:pt idx="169">
                  <c:v>158.60421200001187</c:v>
                </c:pt>
                <c:pt idx="170">
                  <c:v>160.48311200000947</c:v>
                </c:pt>
                <c:pt idx="171">
                  <c:v>160.48311200000947</c:v>
                </c:pt>
                <c:pt idx="172">
                  <c:v>162.37453800000702</c:v>
                </c:pt>
                <c:pt idx="173">
                  <c:v>162.37453800000702</c:v>
                </c:pt>
                <c:pt idx="174">
                  <c:v>164.2659640000046</c:v>
                </c:pt>
                <c:pt idx="175">
                  <c:v>164.2659640000046</c:v>
                </c:pt>
                <c:pt idx="176">
                  <c:v>166.14486400000217</c:v>
                </c:pt>
                <c:pt idx="177">
                  <c:v>166.14486400000217</c:v>
                </c:pt>
                <c:pt idx="178">
                  <c:v>168.03628999999975</c:v>
                </c:pt>
                <c:pt idx="179">
                  <c:v>168.03628999999975</c:v>
                </c:pt>
                <c:pt idx="180">
                  <c:v>169.9277159999973</c:v>
                </c:pt>
                <c:pt idx="181">
                  <c:v>169.9277159999973</c:v>
                </c:pt>
                <c:pt idx="182">
                  <c:v>171.8066159999949</c:v>
                </c:pt>
                <c:pt idx="183">
                  <c:v>171.8066159999949</c:v>
                </c:pt>
                <c:pt idx="184">
                  <c:v>173.69804199999245</c:v>
                </c:pt>
                <c:pt idx="185">
                  <c:v>173.69804199999245</c:v>
                </c:pt>
                <c:pt idx="186">
                  <c:v>175.58946799999003</c:v>
                </c:pt>
                <c:pt idx="187">
                  <c:v>175.58946799999003</c:v>
                </c:pt>
                <c:pt idx="188">
                  <c:v>177.48089399998759</c:v>
                </c:pt>
                <c:pt idx="189">
                  <c:v>177.48089399998759</c:v>
                </c:pt>
                <c:pt idx="190">
                  <c:v>179.36605699998518</c:v>
                </c:pt>
                <c:pt idx="191">
                  <c:v>179.36605699998518</c:v>
                </c:pt>
                <c:pt idx="192">
                  <c:v>181.25748299998276</c:v>
                </c:pt>
                <c:pt idx="193">
                  <c:v>181.25748299998276</c:v>
                </c:pt>
                <c:pt idx="194">
                  <c:v>183.14890899998031</c:v>
                </c:pt>
                <c:pt idx="195">
                  <c:v>183.14890899998031</c:v>
                </c:pt>
                <c:pt idx="196">
                  <c:v>185.0340719999779</c:v>
                </c:pt>
                <c:pt idx="197">
                  <c:v>185.0340719999779</c:v>
                </c:pt>
                <c:pt idx="198">
                  <c:v>186.92549799997545</c:v>
                </c:pt>
                <c:pt idx="199">
                  <c:v>186.92549799997545</c:v>
                </c:pt>
                <c:pt idx="200">
                  <c:v>188.81066099997304</c:v>
                </c:pt>
                <c:pt idx="201">
                  <c:v>188.81066099997304</c:v>
                </c:pt>
                <c:pt idx="202">
                  <c:v>190.6958239999706</c:v>
                </c:pt>
                <c:pt idx="203">
                  <c:v>190.6958239999706</c:v>
                </c:pt>
                <c:pt idx="204">
                  <c:v>192.5747239999682</c:v>
                </c:pt>
                <c:pt idx="205">
                  <c:v>192.5747239999682</c:v>
                </c:pt>
                <c:pt idx="206">
                  <c:v>194.45988699996576</c:v>
                </c:pt>
                <c:pt idx="207">
                  <c:v>194.45988699996576</c:v>
                </c:pt>
                <c:pt idx="208">
                  <c:v>196.33878699996336</c:v>
                </c:pt>
                <c:pt idx="209">
                  <c:v>196.33878699996336</c:v>
                </c:pt>
                <c:pt idx="210">
                  <c:v>198.23021299996091</c:v>
                </c:pt>
                <c:pt idx="211">
                  <c:v>198.23021299996091</c:v>
                </c:pt>
                <c:pt idx="212">
                  <c:v>200.1153759999585</c:v>
                </c:pt>
                <c:pt idx="213">
                  <c:v>200.1153759999585</c:v>
                </c:pt>
                <c:pt idx="214">
                  <c:v>202.00680199995605</c:v>
                </c:pt>
                <c:pt idx="215">
                  <c:v>202.00680199995605</c:v>
                </c:pt>
                <c:pt idx="216">
                  <c:v>203.89822799995363</c:v>
                </c:pt>
                <c:pt idx="217">
                  <c:v>203.89822799995363</c:v>
                </c:pt>
                <c:pt idx="218">
                  <c:v>205.78339099995119</c:v>
                </c:pt>
                <c:pt idx="219">
                  <c:v>205.78339099995119</c:v>
                </c:pt>
                <c:pt idx="220">
                  <c:v>207.66855399994878</c:v>
                </c:pt>
                <c:pt idx="221">
                  <c:v>207.66855399994878</c:v>
                </c:pt>
                <c:pt idx="222">
                  <c:v>209.55371699994635</c:v>
                </c:pt>
                <c:pt idx="223">
                  <c:v>209.55371699994635</c:v>
                </c:pt>
                <c:pt idx="224">
                  <c:v>211.43887999994394</c:v>
                </c:pt>
                <c:pt idx="225">
                  <c:v>211.43887999994394</c:v>
                </c:pt>
                <c:pt idx="226">
                  <c:v>213.3240429999415</c:v>
                </c:pt>
                <c:pt idx="227">
                  <c:v>213.3240429999415</c:v>
                </c:pt>
                <c:pt idx="228">
                  <c:v>215.2029429999391</c:v>
                </c:pt>
                <c:pt idx="229">
                  <c:v>215.2029429999391</c:v>
                </c:pt>
                <c:pt idx="230">
                  <c:v>217.09436899993665</c:v>
                </c:pt>
                <c:pt idx="231">
                  <c:v>217.09436899993665</c:v>
                </c:pt>
                <c:pt idx="232">
                  <c:v>218.98579499993423</c:v>
                </c:pt>
                <c:pt idx="233">
                  <c:v>218.98579499993423</c:v>
                </c:pt>
                <c:pt idx="234">
                  <c:v>220.87095799993179</c:v>
                </c:pt>
                <c:pt idx="235">
                  <c:v>220.87095799993179</c:v>
                </c:pt>
                <c:pt idx="236">
                  <c:v>222.75612099992938</c:v>
                </c:pt>
                <c:pt idx="237">
                  <c:v>222.75612099992938</c:v>
                </c:pt>
                <c:pt idx="238">
                  <c:v>224.64128399992694</c:v>
                </c:pt>
                <c:pt idx="239">
                  <c:v>224.64128399992694</c:v>
                </c:pt>
                <c:pt idx="240">
                  <c:v>226.53270999992452</c:v>
                </c:pt>
                <c:pt idx="241">
                  <c:v>226.53270999992452</c:v>
                </c:pt>
                <c:pt idx="242">
                  <c:v>228.42413599992207</c:v>
                </c:pt>
                <c:pt idx="243">
                  <c:v>228.42413599992207</c:v>
                </c:pt>
                <c:pt idx="244">
                  <c:v>230.30929899992211</c:v>
                </c:pt>
                <c:pt idx="245">
                  <c:v>230.30929899992211</c:v>
                </c:pt>
                <c:pt idx="246">
                  <c:v>232.19446199992382</c:v>
                </c:pt>
                <c:pt idx="247">
                  <c:v>232.19446199992382</c:v>
                </c:pt>
                <c:pt idx="248">
                  <c:v>234.07336199992565</c:v>
                </c:pt>
                <c:pt idx="249">
                  <c:v>234.07336199992565</c:v>
                </c:pt>
                <c:pt idx="250">
                  <c:v>235.96478799992752</c:v>
                </c:pt>
                <c:pt idx="251">
                  <c:v>235.96478799992752</c:v>
                </c:pt>
                <c:pt idx="252">
                  <c:v>237.84368799992936</c:v>
                </c:pt>
                <c:pt idx="253">
                  <c:v>237.84368799992936</c:v>
                </c:pt>
                <c:pt idx="254">
                  <c:v>239.72885099993115</c:v>
                </c:pt>
                <c:pt idx="255">
                  <c:v>239.72885099993115</c:v>
                </c:pt>
                <c:pt idx="256">
                  <c:v>241.60775099993299</c:v>
                </c:pt>
                <c:pt idx="257">
                  <c:v>241.60775099993299</c:v>
                </c:pt>
                <c:pt idx="258">
                  <c:v>243.48665099993485</c:v>
                </c:pt>
                <c:pt idx="259">
                  <c:v>243.48665099993485</c:v>
                </c:pt>
                <c:pt idx="260">
                  <c:v>245.37807699993664</c:v>
                </c:pt>
                <c:pt idx="261">
                  <c:v>245.37807699993664</c:v>
                </c:pt>
                <c:pt idx="262">
                  <c:v>247.26950299993851</c:v>
                </c:pt>
                <c:pt idx="263">
                  <c:v>247.26950299993851</c:v>
                </c:pt>
                <c:pt idx="264">
                  <c:v>249.15466599994036</c:v>
                </c:pt>
                <c:pt idx="265">
                  <c:v>249.15466599994036</c:v>
                </c:pt>
                <c:pt idx="266">
                  <c:v>251.03982899994216</c:v>
                </c:pt>
                <c:pt idx="267">
                  <c:v>251.03982899994216</c:v>
                </c:pt>
                <c:pt idx="268">
                  <c:v>252.931254999944</c:v>
                </c:pt>
                <c:pt idx="269">
                  <c:v>252.931254999944</c:v>
                </c:pt>
                <c:pt idx="270">
                  <c:v>254.82268099994587</c:v>
                </c:pt>
                <c:pt idx="271">
                  <c:v>254.82268099994587</c:v>
                </c:pt>
                <c:pt idx="272">
                  <c:v>256.71410699994607</c:v>
                </c:pt>
                <c:pt idx="273">
                  <c:v>256.71410699994607</c:v>
                </c:pt>
                <c:pt idx="274">
                  <c:v>258.59926999994366</c:v>
                </c:pt>
                <c:pt idx="275">
                  <c:v>258.59926999994366</c:v>
                </c:pt>
                <c:pt idx="276">
                  <c:v>260.49069599994124</c:v>
                </c:pt>
                <c:pt idx="277">
                  <c:v>260.49069599994124</c:v>
                </c:pt>
                <c:pt idx="278">
                  <c:v>262.38212199993882</c:v>
                </c:pt>
                <c:pt idx="279">
                  <c:v>262.38212199993882</c:v>
                </c:pt>
                <c:pt idx="280">
                  <c:v>264.27354799993634</c:v>
                </c:pt>
                <c:pt idx="281">
                  <c:v>264.27354799993634</c:v>
                </c:pt>
                <c:pt idx="282">
                  <c:v>266.15871099993393</c:v>
                </c:pt>
                <c:pt idx="283">
                  <c:v>266.15871099993393</c:v>
                </c:pt>
                <c:pt idx="284">
                  <c:v>268.04387399993152</c:v>
                </c:pt>
                <c:pt idx="285">
                  <c:v>268.04387399993152</c:v>
                </c:pt>
                <c:pt idx="286">
                  <c:v>269.92903699992911</c:v>
                </c:pt>
                <c:pt idx="287">
                  <c:v>269.92903699992911</c:v>
                </c:pt>
                <c:pt idx="288">
                  <c:v>271.81419999992664</c:v>
                </c:pt>
                <c:pt idx="289">
                  <c:v>271.81419999992664</c:v>
                </c:pt>
                <c:pt idx="290">
                  <c:v>273.70562599992422</c:v>
                </c:pt>
                <c:pt idx="291">
                  <c:v>273.70562599992422</c:v>
                </c:pt>
                <c:pt idx="292">
                  <c:v>275.59078899992181</c:v>
                </c:pt>
                <c:pt idx="293">
                  <c:v>275.59078899992181</c:v>
                </c:pt>
                <c:pt idx="294">
                  <c:v>277.4759519999194</c:v>
                </c:pt>
                <c:pt idx="295">
                  <c:v>277.4759519999194</c:v>
                </c:pt>
                <c:pt idx="296">
                  <c:v>279.36111499991694</c:v>
                </c:pt>
                <c:pt idx="297">
                  <c:v>279.36111499991694</c:v>
                </c:pt>
                <c:pt idx="298">
                  <c:v>281.24627799991453</c:v>
                </c:pt>
                <c:pt idx="299">
                  <c:v>281.24627799991453</c:v>
                </c:pt>
                <c:pt idx="300">
                  <c:v>283.13770399991211</c:v>
                </c:pt>
                <c:pt idx="301">
                  <c:v>283.13770399991211</c:v>
                </c:pt>
                <c:pt idx="302">
                  <c:v>285.01660399990971</c:v>
                </c:pt>
                <c:pt idx="303">
                  <c:v>285.01660399990971</c:v>
                </c:pt>
                <c:pt idx="304">
                  <c:v>286.90802999990723</c:v>
                </c:pt>
                <c:pt idx="305">
                  <c:v>286.90802999990723</c:v>
                </c:pt>
                <c:pt idx="306">
                  <c:v>288.79319299990482</c:v>
                </c:pt>
                <c:pt idx="307">
                  <c:v>288.79319299990482</c:v>
                </c:pt>
                <c:pt idx="308">
                  <c:v>290.67835599990241</c:v>
                </c:pt>
                <c:pt idx="309">
                  <c:v>290.67835599990241</c:v>
                </c:pt>
                <c:pt idx="310">
                  <c:v>292.55725599990001</c:v>
                </c:pt>
                <c:pt idx="311">
                  <c:v>292.55725599990001</c:v>
                </c:pt>
                <c:pt idx="312">
                  <c:v>294.44868199989753</c:v>
                </c:pt>
                <c:pt idx="313">
                  <c:v>294.44868199989753</c:v>
                </c:pt>
                <c:pt idx="314">
                  <c:v>296.33384499989512</c:v>
                </c:pt>
                <c:pt idx="315">
                  <c:v>296.33384499989512</c:v>
                </c:pt>
                <c:pt idx="316">
                  <c:v>298.21900799989271</c:v>
                </c:pt>
                <c:pt idx="317">
                  <c:v>298.21900799989271</c:v>
                </c:pt>
                <c:pt idx="318">
                  <c:v>300.1041709998903</c:v>
                </c:pt>
                <c:pt idx="319">
                  <c:v>300.1041709998903</c:v>
                </c:pt>
                <c:pt idx="320">
                  <c:v>301.99559699988788</c:v>
                </c:pt>
                <c:pt idx="321">
                  <c:v>301.99559699988788</c:v>
                </c:pt>
                <c:pt idx="322">
                  <c:v>303.8870229998854</c:v>
                </c:pt>
                <c:pt idx="323">
                  <c:v>303.8870229998854</c:v>
                </c:pt>
                <c:pt idx="324">
                  <c:v>305.77844899988298</c:v>
                </c:pt>
                <c:pt idx="325">
                  <c:v>305.77844899988298</c:v>
                </c:pt>
                <c:pt idx="326">
                  <c:v>307.66987499988056</c:v>
                </c:pt>
                <c:pt idx="327">
                  <c:v>307.66987499988056</c:v>
                </c:pt>
                <c:pt idx="328">
                  <c:v>309.55503799987815</c:v>
                </c:pt>
                <c:pt idx="329">
                  <c:v>309.55503799987815</c:v>
                </c:pt>
                <c:pt idx="330">
                  <c:v>311.44020099987569</c:v>
                </c:pt>
                <c:pt idx="331">
                  <c:v>311.44020099987569</c:v>
                </c:pt>
                <c:pt idx="332">
                  <c:v>313.32536399987328</c:v>
                </c:pt>
                <c:pt idx="333">
                  <c:v>313.32536399987328</c:v>
                </c:pt>
                <c:pt idx="334">
                  <c:v>315.21052699987086</c:v>
                </c:pt>
                <c:pt idx="335">
                  <c:v>315.21052699987086</c:v>
                </c:pt>
                <c:pt idx="336">
                  <c:v>317.10195299986844</c:v>
                </c:pt>
                <c:pt idx="337">
                  <c:v>317.10195299986844</c:v>
                </c:pt>
                <c:pt idx="338">
                  <c:v>318.98711599986598</c:v>
                </c:pt>
                <c:pt idx="339">
                  <c:v>318.98711599986598</c:v>
                </c:pt>
                <c:pt idx="340">
                  <c:v>320.87227899986357</c:v>
                </c:pt>
                <c:pt idx="341">
                  <c:v>320.87227899986357</c:v>
                </c:pt>
                <c:pt idx="342">
                  <c:v>322.75744199986116</c:v>
                </c:pt>
                <c:pt idx="343">
                  <c:v>322.75744199986116</c:v>
                </c:pt>
                <c:pt idx="344">
                  <c:v>324.64260499985875</c:v>
                </c:pt>
                <c:pt idx="345">
                  <c:v>324.64260499985875</c:v>
                </c:pt>
                <c:pt idx="346">
                  <c:v>326.52776799985628</c:v>
                </c:pt>
                <c:pt idx="347">
                  <c:v>326.52776799985628</c:v>
                </c:pt>
                <c:pt idx="348">
                  <c:v>328.41919399985386</c:v>
                </c:pt>
                <c:pt idx="349">
                  <c:v>328.41919399985386</c:v>
                </c:pt>
                <c:pt idx="350">
                  <c:v>330.31061999985144</c:v>
                </c:pt>
                <c:pt idx="351">
                  <c:v>330.31061999985144</c:v>
                </c:pt>
                <c:pt idx="352">
                  <c:v>332.20204599984902</c:v>
                </c:pt>
                <c:pt idx="353">
                  <c:v>332.20204599984902</c:v>
                </c:pt>
                <c:pt idx="354">
                  <c:v>334.09347199984654</c:v>
                </c:pt>
                <c:pt idx="355">
                  <c:v>334.09347199984654</c:v>
                </c:pt>
                <c:pt idx="356">
                  <c:v>335.97863499984413</c:v>
                </c:pt>
                <c:pt idx="357">
                  <c:v>335.97863499984413</c:v>
                </c:pt>
                <c:pt idx="358">
                  <c:v>337.86379799984172</c:v>
                </c:pt>
                <c:pt idx="359">
                  <c:v>337.86379799984172</c:v>
                </c:pt>
                <c:pt idx="360">
                  <c:v>339.74896099983931</c:v>
                </c:pt>
                <c:pt idx="361">
                  <c:v>339.74896099983931</c:v>
                </c:pt>
                <c:pt idx="362">
                  <c:v>341.63412399983685</c:v>
                </c:pt>
                <c:pt idx="363">
                  <c:v>341.63412399983685</c:v>
                </c:pt>
                <c:pt idx="364">
                  <c:v>343.52554999983442</c:v>
                </c:pt>
                <c:pt idx="365">
                  <c:v>343.52554999983442</c:v>
                </c:pt>
                <c:pt idx="366">
                  <c:v>345.416975999832</c:v>
                </c:pt>
                <c:pt idx="367">
                  <c:v>345.416975999832</c:v>
                </c:pt>
                <c:pt idx="368">
                  <c:v>347.30840199982958</c:v>
                </c:pt>
                <c:pt idx="369">
                  <c:v>347.30840199982958</c:v>
                </c:pt>
                <c:pt idx="370">
                  <c:v>349.19356499982717</c:v>
                </c:pt>
                <c:pt idx="371">
                  <c:v>349.19356499982717</c:v>
                </c:pt>
                <c:pt idx="372">
                  <c:v>351.07872799982471</c:v>
                </c:pt>
                <c:pt idx="373">
                  <c:v>351.07872799982471</c:v>
                </c:pt>
                <c:pt idx="374">
                  <c:v>352.9638909998223</c:v>
                </c:pt>
                <c:pt idx="375">
                  <c:v>352.9638909998223</c:v>
                </c:pt>
                <c:pt idx="376">
                  <c:v>354.84905399981989</c:v>
                </c:pt>
                <c:pt idx="377">
                  <c:v>354.84905399981989</c:v>
                </c:pt>
                <c:pt idx="378">
                  <c:v>356.73421699981748</c:v>
                </c:pt>
                <c:pt idx="379">
                  <c:v>356.73421699981748</c:v>
                </c:pt>
                <c:pt idx="380">
                  <c:v>358.61937999981501</c:v>
                </c:pt>
                <c:pt idx="381">
                  <c:v>358.61937999981501</c:v>
                </c:pt>
              </c:numCache>
            </c:numRef>
          </c:xVal>
          <c:yVal>
            <c:numRef>
              <c:f>DTDRpat_result0!$C$2:$C$383</c:f>
              <c:numCache>
                <c:formatCode>General</c:formatCode>
                <c:ptCount val="382"/>
                <c:pt idx="0">
                  <c:v>0.76553154821114489</c:v>
                </c:pt>
                <c:pt idx="1">
                  <c:v>0.76553222983503211</c:v>
                </c:pt>
                <c:pt idx="2">
                  <c:v>0.76574952089896986</c:v>
                </c:pt>
                <c:pt idx="3">
                  <c:v>0.76615628466548003</c:v>
                </c:pt>
                <c:pt idx="4">
                  <c:v>0.76682693044694394</c:v>
                </c:pt>
                <c:pt idx="5">
                  <c:v>0.7676461295266962</c:v>
                </c:pt>
                <c:pt idx="6">
                  <c:v>0.76873783614158708</c:v>
                </c:pt>
                <c:pt idx="7">
                  <c:v>0.76996594023584419</c:v>
                </c:pt>
                <c:pt idx="8">
                  <c:v>0.7715271016327474</c:v>
                </c:pt>
                <c:pt idx="9">
                  <c:v>0.77317096974331267</c:v>
                </c:pt>
                <c:pt idx="10">
                  <c:v>0.77515910730172488</c:v>
                </c:pt>
                <c:pt idx="11">
                  <c:v>0.77721965621702371</c:v>
                </c:pt>
                <c:pt idx="12">
                  <c:v>0.77964114291464504</c:v>
                </c:pt>
                <c:pt idx="13">
                  <c:v>0.78212155328387012</c:v>
                </c:pt>
                <c:pt idx="14">
                  <c:v>0.78499365275840993</c:v>
                </c:pt>
                <c:pt idx="15">
                  <c:v>0.78789919071528991</c:v>
                </c:pt>
                <c:pt idx="16">
                  <c:v>0.79129479041058948</c:v>
                </c:pt>
                <c:pt idx="17">
                  <c:v>0.79463595160548972</c:v>
                </c:pt>
                <c:pt idx="18">
                  <c:v>0.79845830764062209</c:v>
                </c:pt>
                <c:pt idx="19">
                  <c:v>0.80223905087823977</c:v>
                </c:pt>
                <c:pt idx="20">
                  <c:v>0.80673619263485163</c:v>
                </c:pt>
                <c:pt idx="21">
                  <c:v>0.81097450295228735</c:v>
                </c:pt>
                <c:pt idx="22">
                  <c:v>0.81589476259946803</c:v>
                </c:pt>
                <c:pt idx="23">
                  <c:v>0.82059448660373957</c:v>
                </c:pt>
                <c:pt idx="24">
                  <c:v>0.82599281744181885</c:v>
                </c:pt>
                <c:pt idx="25">
                  <c:v>0.83116113899558752</c:v>
                </c:pt>
                <c:pt idx="26">
                  <c:v>0.83703903788638334</c:v>
                </c:pt>
                <c:pt idx="27">
                  <c:v>0.84268320824221477</c:v>
                </c:pt>
                <c:pt idx="28">
                  <c:v>0.84908358128755057</c:v>
                </c:pt>
                <c:pt idx="29">
                  <c:v>0.85521266688525266</c:v>
                </c:pt>
                <c:pt idx="30">
                  <c:v>0.86201084721670607</c:v>
                </c:pt>
                <c:pt idx="31">
                  <c:v>0.86862883334228347</c:v>
                </c:pt>
                <c:pt idx="32">
                  <c:v>0.87604939270330795</c:v>
                </c:pt>
                <c:pt idx="33">
                  <c:v>0.88316792725745508</c:v>
                </c:pt>
                <c:pt idx="34">
                  <c:v>0.89113370600026121</c:v>
                </c:pt>
                <c:pt idx="35">
                  <c:v>0.8987606317127026</c:v>
                </c:pt>
                <c:pt idx="36">
                  <c:v>0.90727956574925894</c:v>
                </c:pt>
                <c:pt idx="37">
                  <c:v>0.91542160617285817</c:v>
                </c:pt>
                <c:pt idx="38">
                  <c:v>0.92438274668756681</c:v>
                </c:pt>
                <c:pt idx="39">
                  <c:v>0.93304190513670637</c:v>
                </c:pt>
                <c:pt idx="40">
                  <c:v>0.94255675294783459</c:v>
                </c:pt>
                <c:pt idx="41">
                  <c:v>0.95173641923541985</c:v>
                </c:pt>
                <c:pt idx="42">
                  <c:v>0.96193942627063078</c:v>
                </c:pt>
                <c:pt idx="43">
                  <c:v>0.97164410756698028</c:v>
                </c:pt>
                <c:pt idx="44">
                  <c:v>0.98241374750127086</c:v>
                </c:pt>
                <c:pt idx="45">
                  <c:v>0.99264144331994997</c:v>
                </c:pt>
                <c:pt idx="46">
                  <c:v>1.0039736398000254</c:v>
                </c:pt>
                <c:pt idx="47">
                  <c:v>1.0147184869236126</c:v>
                </c:pt>
                <c:pt idx="48">
                  <c:v>1.0264512251383444</c:v>
                </c:pt>
                <c:pt idx="49">
                  <c:v>1.0376995660492969</c:v>
                </c:pt>
                <c:pt idx="50">
                  <c:v>1.0501220133350664</c:v>
                </c:pt>
                <c:pt idx="51">
                  <c:v>1.0618614207652153</c:v>
                </c:pt>
                <c:pt idx="52">
                  <c:v>1.0746367754545711</c:v>
                </c:pt>
                <c:pt idx="53">
                  <c:v>1.086842075095424</c:v>
                </c:pt>
                <c:pt idx="54">
                  <c:v>1.1003591244022248</c:v>
                </c:pt>
                <c:pt idx="55">
                  <c:v>1.1130054562351519</c:v>
                </c:pt>
                <c:pt idx="56">
                  <c:v>1.1267147454310638</c:v>
                </c:pt>
                <c:pt idx="57">
                  <c:v>1.139760120875301</c:v>
                </c:pt>
                <c:pt idx="58">
                  <c:v>1.1540550889611485</c:v>
                </c:pt>
                <c:pt idx="59">
                  <c:v>1.167455075507368</c:v>
                </c:pt>
                <c:pt idx="60">
                  <c:v>1.1820096257950159</c:v>
                </c:pt>
                <c:pt idx="61">
                  <c:v>1.1957056194270375</c:v>
                </c:pt>
                <c:pt idx="62">
                  <c:v>1.2104472448837067</c:v>
                </c:pt>
                <c:pt idx="63">
                  <c:v>1.2243702209036156</c:v>
                </c:pt>
                <c:pt idx="64">
                  <c:v>1.2396032934128545</c:v>
                </c:pt>
                <c:pt idx="65">
                  <c:v>1.2536744904401596</c:v>
                </c:pt>
                <c:pt idx="66">
                  <c:v>1.2687274289262667</c:v>
                </c:pt>
                <c:pt idx="67">
                  <c:v>1.2828528591606909</c:v>
                </c:pt>
                <c:pt idx="68">
                  <c:v>1.2981036660626879</c:v>
                </c:pt>
                <c:pt idx="69">
                  <c:v>1.3121779632942214</c:v>
                </c:pt>
                <c:pt idx="70">
                  <c:v>1.3272150180900186</c:v>
                </c:pt>
                <c:pt idx="71">
                  <c:v>1.3411206181655277</c:v>
                </c:pt>
                <c:pt idx="72">
                  <c:v>1.3560030415046458</c:v>
                </c:pt>
                <c:pt idx="73">
                  <c:v>1.3696096298871139</c:v>
                </c:pt>
                <c:pt idx="74">
                  <c:v>1.384094468888158</c:v>
                </c:pt>
                <c:pt idx="75">
                  <c:v>1.3972618553054683</c:v>
                </c:pt>
                <c:pt idx="76">
                  <c:v>1.4110174079026572</c:v>
                </c:pt>
                <c:pt idx="77">
                  <c:v>1.4236016500125133</c:v>
                </c:pt>
                <c:pt idx="78">
                  <c:v>1.4366546766020232</c:v>
                </c:pt>
                <c:pt idx="79">
                  <c:v>1.4485040641889306</c:v>
                </c:pt>
                <c:pt idx="80">
                  <c:v>1.4609222927234276</c:v>
                </c:pt>
                <c:pt idx="81">
                  <c:v>1.4718733071359267</c:v>
                </c:pt>
                <c:pt idx="82">
                  <c:v>1.4830196063696095</c:v>
                </c:pt>
                <c:pt idx="83">
                  <c:v>1.4929284750017962</c:v>
                </c:pt>
                <c:pt idx="84">
                  <c:v>1.503008482030177</c:v>
                </c:pt>
                <c:pt idx="85">
                  <c:v>1.5117211447897798</c:v>
                </c:pt>
                <c:pt idx="86">
                  <c:v>1.5204330086413893</c:v>
                </c:pt>
                <c:pt idx="87">
                  <c:v>1.5278129557933033</c:v>
                </c:pt>
                <c:pt idx="88">
                  <c:v>1.5350170827898713</c:v>
                </c:pt>
                <c:pt idx="89">
                  <c:v>1.5409436776259029</c:v>
                </c:pt>
                <c:pt idx="90">
                  <c:v>1.5464545784376864</c:v>
                </c:pt>
                <c:pt idx="91">
                  <c:v>1.5508380789775169</c:v>
                </c:pt>
                <c:pt idx="92">
                  <c:v>1.5546594086023018</c:v>
                </c:pt>
                <c:pt idx="93">
                  <c:v>1.5574246811127035</c:v>
                </c:pt>
                <c:pt idx="94">
                  <c:v>1.5595109675374601</c:v>
                </c:pt>
                <c:pt idx="95">
                  <c:v>1.5605986063012423</c:v>
                </c:pt>
                <c:pt idx="96">
                  <c:v>1.5608575588335951</c:v>
                </c:pt>
                <c:pt idx="97">
                  <c:v>1.5602481484925601</c:v>
                </c:pt>
                <c:pt idx="98">
                  <c:v>1.5586751526579292</c:v>
                </c:pt>
                <c:pt idx="99">
                  <c:v>1.5563795725338141</c:v>
                </c:pt>
                <c:pt idx="100">
                  <c:v>1.5530515217967622</c:v>
                </c:pt>
                <c:pt idx="101">
                  <c:v>1.5491211932034479</c:v>
                </c:pt>
                <c:pt idx="102">
                  <c:v>1.5440818652770425</c:v>
                </c:pt>
                <c:pt idx="103">
                  <c:v>1.5385845248662786</c:v>
                </c:pt>
                <c:pt idx="104">
                  <c:v>1.5317827888038533</c:v>
                </c:pt>
                <c:pt idx="105">
                  <c:v>1.5247967928524322</c:v>
                </c:pt>
                <c:pt idx="106">
                  <c:v>1.5164921278805823</c:v>
                </c:pt>
                <c:pt idx="107">
                  <c:v>1.508137986487019</c:v>
                </c:pt>
                <c:pt idx="108">
                  <c:v>1.498552744672361</c:v>
                </c:pt>
                <c:pt idx="109">
                  <c:v>1.4889707200226003</c:v>
                </c:pt>
                <c:pt idx="110">
                  <c:v>1.4781506002792066</c:v>
                </c:pt>
                <c:pt idx="111">
                  <c:v>1.4674837185842364</c:v>
                </c:pt>
                <c:pt idx="112">
                  <c:v>1.4555858978620495</c:v>
                </c:pt>
                <c:pt idx="113">
                  <c:v>1.4439847615473016</c:v>
                </c:pt>
                <c:pt idx="114">
                  <c:v>1.4309197249144525</c:v>
                </c:pt>
                <c:pt idx="115">
                  <c:v>1.4185309644263149</c:v>
                </c:pt>
                <c:pt idx="116">
                  <c:v>1.4047832930548423</c:v>
                </c:pt>
                <c:pt idx="117">
                  <c:v>1.3917645319061382</c:v>
                </c:pt>
                <c:pt idx="118">
                  <c:v>1.3774180444104358</c:v>
                </c:pt>
                <c:pt idx="119">
                  <c:v>1.3639194511580113</c:v>
                </c:pt>
                <c:pt idx="120">
                  <c:v>1.3491327270068565</c:v>
                </c:pt>
                <c:pt idx="121">
                  <c:v>1.3352969966172294</c:v>
                </c:pt>
                <c:pt idx="122">
                  <c:v>1.3204121749717097</c:v>
                </c:pt>
                <c:pt idx="123">
                  <c:v>1.3063732023741921</c:v>
                </c:pt>
                <c:pt idx="124">
                  <c:v>1.2913371490167564</c:v>
                </c:pt>
                <c:pt idx="125">
                  <c:v>1.2772150620189824</c:v>
                </c:pt>
                <c:pt idx="126">
                  <c:v>1.2621496851317111</c:v>
                </c:pt>
                <c:pt idx="127">
                  <c:v>1.2480526610973697</c:v>
                </c:pt>
                <c:pt idx="128">
                  <c:v>1.232970126695021</c:v>
                </c:pt>
                <c:pt idx="129">
                  <c:v>1.2189944900754224</c:v>
                </c:pt>
                <c:pt idx="130">
                  <c:v>1.2038984555364707</c:v>
                </c:pt>
                <c:pt idx="131">
                  <c:v>1.190129718778022</c:v>
                </c:pt>
                <c:pt idx="132">
                  <c:v>1.1753933661672187</c:v>
                </c:pt>
                <c:pt idx="133">
                  <c:v>1.1619032987592812</c:v>
                </c:pt>
                <c:pt idx="134">
                  <c:v>1.1475023848890711</c:v>
                </c:pt>
                <c:pt idx="135">
                  <c:v>1.1343517063884523</c:v>
                </c:pt>
                <c:pt idx="136">
                  <c:v>1.1203459825918307</c:v>
                </c:pt>
                <c:pt idx="137">
                  <c:v>1.1075848383599709</c:v>
                </c:pt>
                <c:pt idx="138">
                  <c:v>1.0940230609110597</c:v>
                </c:pt>
                <c:pt idx="139">
                  <c:v>1.081691836903627</c:v>
                </c:pt>
                <c:pt idx="140">
                  <c:v>1.0686128672209794</c:v>
                </c:pt>
                <c:pt idx="141">
                  <c:v>1.0567433071781032</c:v>
                </c:pt>
                <c:pt idx="142">
                  <c:v>1.0442563663427851</c:v>
                </c:pt>
                <c:pt idx="143">
                  <c:v>1.0328708579969692</c:v>
                </c:pt>
                <c:pt idx="144">
                  <c:v>1.0209896159282073</c:v>
                </c:pt>
                <c:pt idx="145">
                  <c:v>1.0101038196464127</c:v>
                </c:pt>
                <c:pt idx="146">
                  <c:v>0.9986179471023533</c:v>
                </c:pt>
                <c:pt idx="147">
                  <c:v>0.98824698801104505</c:v>
                </c:pt>
                <c:pt idx="148">
                  <c:v>0.97732170202158231</c:v>
                </c:pt>
                <c:pt idx="149">
                  <c:v>0.96747255381774011</c:v>
                </c:pt>
                <c:pt idx="150">
                  <c:v>0.95711323001992288</c:v>
                </c:pt>
                <c:pt idx="151">
                  <c:v>0.94778887056928796</c:v>
                </c:pt>
                <c:pt idx="152">
                  <c:v>0.93805838459426361</c:v>
                </c:pt>
                <c:pt idx="153">
                  <c:v>0.9292568307636162</c:v>
                </c:pt>
                <c:pt idx="154">
                  <c:v>0.9200285127502823</c:v>
                </c:pt>
                <c:pt idx="155">
                  <c:v>0.91174858676516846</c:v>
                </c:pt>
                <c:pt idx="156">
                  <c:v>0.90313590098223151</c:v>
                </c:pt>
                <c:pt idx="157">
                  <c:v>0.89537102424629089</c:v>
                </c:pt>
                <c:pt idx="158">
                  <c:v>0.88735890706319354</c:v>
                </c:pt>
                <c:pt idx="159">
                  <c:v>0.88010100567725569</c:v>
                </c:pt>
                <c:pt idx="160">
                  <c:v>0.87253106512126077</c:v>
                </c:pt>
                <c:pt idx="161">
                  <c:v>0.86577591876757787</c:v>
                </c:pt>
                <c:pt idx="162">
                  <c:v>0.85883276596130842</c:v>
                </c:pt>
                <c:pt idx="163">
                  <c:v>0.8525688929419929</c:v>
                </c:pt>
                <c:pt idx="164">
                  <c:v>0.84606398514260728</c:v>
                </c:pt>
                <c:pt idx="165">
                  <c:v>0.84028587406864141</c:v>
                </c:pt>
                <c:pt idx="166">
                  <c:v>0.83437568187033295</c:v>
                </c:pt>
                <c:pt idx="167">
                  <c:v>0.829071309713031</c:v>
                </c:pt>
                <c:pt idx="168">
                  <c:v>0.8236618166441142</c:v>
                </c:pt>
                <c:pt idx="169">
                  <c:v>0.81882238735566026</c:v>
                </c:pt>
                <c:pt idx="170">
                  <c:v>0.81390434374903009</c:v>
                </c:pt>
                <c:pt idx="171">
                  <c:v>0.80952137797645762</c:v>
                </c:pt>
                <c:pt idx="172">
                  <c:v>0.80503019654132946</c:v>
                </c:pt>
                <c:pt idx="173">
                  <c:v>0.80109849706467384</c:v>
                </c:pt>
                <c:pt idx="174">
                  <c:v>0.79709067733073591</c:v>
                </c:pt>
                <c:pt idx="175">
                  <c:v>0.79360252271971254</c:v>
                </c:pt>
                <c:pt idx="176">
                  <c:v>0.79011348390872072</c:v>
                </c:pt>
                <c:pt idx="177">
                  <c:v>0.78705886696310434</c:v>
                </c:pt>
                <c:pt idx="178">
                  <c:v>0.78399125819915483</c:v>
                </c:pt>
                <c:pt idx="179">
                  <c:v>0.78136662432149706</c:v>
                </c:pt>
                <c:pt idx="180">
                  <c:v>0.77876048848779211</c:v>
                </c:pt>
                <c:pt idx="181">
                  <c:v>0.77656024466139928</c:v>
                </c:pt>
                <c:pt idx="182">
                  <c:v>0.77443582644649522</c:v>
                </c:pt>
                <c:pt idx="183">
                  <c:v>0.77265232284515484</c:v>
                </c:pt>
                <c:pt idx="184">
                  <c:v>0.77095005061913247</c:v>
                </c:pt>
                <c:pt idx="185">
                  <c:v>0.76958203642840739</c:v>
                </c:pt>
                <c:pt idx="186">
                  <c:v>0.76832699149426031</c:v>
                </c:pt>
                <c:pt idx="187">
                  <c:v>0.76737144830688808</c:v>
                </c:pt>
                <c:pt idx="188">
                  <c:v>0.76656079046536862</c:v>
                </c:pt>
                <c:pt idx="189">
                  <c:v>0.76601547895199606</c:v>
                </c:pt>
                <c:pt idx="190">
                  <c:v>0.76564896710133157</c:v>
                </c:pt>
                <c:pt idx="191">
                  <c:v>0.76551133126074333</c:v>
                </c:pt>
                <c:pt idx="192">
                  <c:v>0.76558337890031947</c:v>
                </c:pt>
                <c:pt idx="193">
                  <c:v>0.76585442496161282</c:v>
                </c:pt>
                <c:pt idx="194">
                  <c:v>0.76636828496399589</c:v>
                </c:pt>
                <c:pt idx="195">
                  <c:v>0.76704867458645665</c:v>
                </c:pt>
                <c:pt idx="196">
                  <c:v>0.76799870686251703</c:v>
                </c:pt>
                <c:pt idx="197">
                  <c:v>0.76908861380167759</c:v>
                </c:pt>
                <c:pt idx="198">
                  <c:v>0.77048923409596359</c:v>
                </c:pt>
                <c:pt idx="199">
                  <c:v>0.77199246152213996</c:v>
                </c:pt>
                <c:pt idx="200">
                  <c:v>0.77382893660567287</c:v>
                </c:pt>
                <c:pt idx="201">
                  <c:v>0.77574752513656342</c:v>
                </c:pt>
                <c:pt idx="202">
                  <c:v>0.77803212224472384</c:v>
                </c:pt>
                <c:pt idx="203">
                  <c:v>0.78037029788973733</c:v>
                </c:pt>
                <c:pt idx="204">
                  <c:v>0.78308970732828032</c:v>
                </c:pt>
                <c:pt idx="205">
                  <c:v>0.78585120275855957</c:v>
                </c:pt>
                <c:pt idx="206">
                  <c:v>0.78904642788290369</c:v>
                </c:pt>
                <c:pt idx="207">
                  <c:v>0.79223844965687218</c:v>
                </c:pt>
                <c:pt idx="208">
                  <c:v>0.79587510685019847</c:v>
                </c:pt>
                <c:pt idx="209">
                  <c:v>0.79950280420296382</c:v>
                </c:pt>
                <c:pt idx="210">
                  <c:v>0.80366268447508793</c:v>
                </c:pt>
                <c:pt idx="211">
                  <c:v>0.80773628373244621</c:v>
                </c:pt>
                <c:pt idx="212">
                  <c:v>0.81235179188121132</c:v>
                </c:pt>
                <c:pt idx="213">
                  <c:v>0.81687774265941682</c:v>
                </c:pt>
                <c:pt idx="214">
                  <c:v>0.82201686807113905</c:v>
                </c:pt>
                <c:pt idx="215">
                  <c:v>0.82700498218903673</c:v>
                </c:pt>
                <c:pt idx="216">
                  <c:v>0.83264823425740586</c:v>
                </c:pt>
                <c:pt idx="217">
                  <c:v>0.83810730388648103</c:v>
                </c:pt>
                <c:pt idx="218">
                  <c:v>0.84422410082842847</c:v>
                </c:pt>
                <c:pt idx="219">
                  <c:v>0.85016136816237287</c:v>
                </c:pt>
                <c:pt idx="220">
                  <c:v>0.85679641238455051</c:v>
                </c:pt>
                <c:pt idx="221">
                  <c:v>0.8632207442102573</c:v>
                </c:pt>
                <c:pt idx="222">
                  <c:v>0.87038339474712989</c:v>
                </c:pt>
                <c:pt idx="223">
                  <c:v>0.8773033567288443</c:v>
                </c:pt>
                <c:pt idx="224">
                  <c:v>0.88500260734615299</c:v>
                </c:pt>
                <c:pt idx="225">
                  <c:v>0.89242626467344033</c:v>
                </c:pt>
                <c:pt idx="226">
                  <c:v>0.90067032560591909</c:v>
                </c:pt>
                <c:pt idx="227">
                  <c:v>0.90860487489088992</c:v>
                </c:pt>
                <c:pt idx="228">
                  <c:v>0.91734350133349341</c:v>
                </c:pt>
                <c:pt idx="229">
                  <c:v>0.9257931479433793</c:v>
                </c:pt>
                <c:pt idx="230">
                  <c:v>0.9352056973817886</c:v>
                </c:pt>
                <c:pt idx="231">
                  <c:v>0.94417827104190499</c:v>
                </c:pt>
                <c:pt idx="232">
                  <c:v>0.95415719005047384</c:v>
                </c:pt>
                <c:pt idx="233">
                  <c:v>0.96365469610085608</c:v>
                </c:pt>
                <c:pt idx="234">
                  <c:v>0.974132764424818</c:v>
                </c:pt>
                <c:pt idx="235">
                  <c:v>0.984152716331817</c:v>
                </c:pt>
                <c:pt idx="236">
                  <c:v>0.9951899898475578</c:v>
                </c:pt>
                <c:pt idx="237">
                  <c:v>1.0057282071033389</c:v>
                </c:pt>
                <c:pt idx="238">
                  <c:v>1.0173180776282613</c:v>
                </c:pt>
                <c:pt idx="239">
                  <c:v>1.028366186943021</c:v>
                </c:pt>
                <c:pt idx="240">
                  <c:v>1.0405757311982144</c:v>
                </c:pt>
                <c:pt idx="241">
                  <c:v>1.052121967876553</c:v>
                </c:pt>
                <c:pt idx="242">
                  <c:v>1.0648600106980766</c:v>
                </c:pt>
                <c:pt idx="243">
                  <c:v>1.0768847855581327</c:v>
                </c:pt>
                <c:pt idx="244">
                  <c:v>1.0900414327378096</c:v>
                </c:pt>
                <c:pt idx="245">
                  <c:v>1.1025168783803498</c:v>
                </c:pt>
                <c:pt idx="246">
                  <c:v>1.116140075123222</c:v>
                </c:pt>
                <c:pt idx="247">
                  <c:v>1.1290318974140383</c:v>
                </c:pt>
                <c:pt idx="248">
                  <c:v>1.1429895365446612</c:v>
                </c:pt>
                <c:pt idx="249">
                  <c:v>1.1562534886641829</c:v>
                </c:pt>
                <c:pt idx="250">
                  <c:v>1.1707675743949155</c:v>
                </c:pt>
                <c:pt idx="251">
                  <c:v>1.184352925947052</c:v>
                </c:pt>
                <c:pt idx="252">
                  <c:v>1.1989911089092462</c:v>
                </c:pt>
                <c:pt idx="253">
                  <c:v>1.2128320754268329</c:v>
                </c:pt>
                <c:pt idx="254">
                  <c:v>1.2278008333488855</c:v>
                </c:pt>
                <c:pt idx="255">
                  <c:v>1.2418228838549845</c:v>
                </c:pt>
                <c:pt idx="256">
                  <c:v>1.2568434922420888</c:v>
                </c:pt>
                <c:pt idx="257">
                  <c:v>1.2709587458671889</c:v>
                </c:pt>
                <c:pt idx="258">
                  <c:v>1.2860273461528884</c:v>
                </c:pt>
                <c:pt idx="259">
                  <c:v>1.300136314616251</c:v>
                </c:pt>
                <c:pt idx="260">
                  <c:v>1.3153334421768803</c:v>
                </c:pt>
                <c:pt idx="261">
                  <c:v>1.3293230867763146</c:v>
                </c:pt>
                <c:pt idx="262">
                  <c:v>1.3443250954217574</c:v>
                </c:pt>
                <c:pt idx="263">
                  <c:v>1.35807005421071</c:v>
                </c:pt>
                <c:pt idx="264">
                  <c:v>1.3726426647590624</c:v>
                </c:pt>
                <c:pt idx="265">
                  <c:v>1.3860082620908756</c:v>
                </c:pt>
                <c:pt idx="266">
                  <c:v>1.4000971288357953</c:v>
                </c:pt>
                <c:pt idx="267">
                  <c:v>1.4129390276040183</c:v>
                </c:pt>
                <c:pt idx="268">
                  <c:v>1.426470331536162</c:v>
                </c:pt>
                <c:pt idx="269">
                  <c:v>1.4386351302968738</c:v>
                </c:pt>
                <c:pt idx="270">
                  <c:v>1.4513510173761037</c:v>
                </c:pt>
                <c:pt idx="271">
                  <c:v>1.4626832589502501</c:v>
                </c:pt>
                <c:pt idx="272">
                  <c:v>1.4744153331425986</c:v>
                </c:pt>
                <c:pt idx="273">
                  <c:v>1.4847597783964022</c:v>
                </c:pt>
                <c:pt idx="274">
                  <c:v>1.4952767178344202</c:v>
                </c:pt>
                <c:pt idx="275">
                  <c:v>1.5044866554793819</c:v>
                </c:pt>
                <c:pt idx="276">
                  <c:v>1.5137653807143405</c:v>
                </c:pt>
                <c:pt idx="277">
                  <c:v>1.521695762714796</c:v>
                </c:pt>
                <c:pt idx="278">
                  <c:v>1.5295207042568635</c:v>
                </c:pt>
                <c:pt idx="279">
                  <c:v>1.536043948188367</c:v>
                </c:pt>
                <c:pt idx="280">
                  <c:v>1.5422867346501468</c:v>
                </c:pt>
                <c:pt idx="281">
                  <c:v>1.5472938446749307</c:v>
                </c:pt>
                <c:pt idx="282">
                  <c:v>1.5518223316072357</c:v>
                </c:pt>
                <c:pt idx="283">
                  <c:v>1.5552326177328268</c:v>
                </c:pt>
                <c:pt idx="284">
                  <c:v>1.5580110107098952</c:v>
                </c:pt>
                <c:pt idx="285">
                  <c:v>1.5597649188262011</c:v>
                </c:pt>
                <c:pt idx="286">
                  <c:v>1.5607443670847312</c:v>
                </c:pt>
                <c:pt idx="287">
                  <c:v>1.5608109045976737</c:v>
                </c:pt>
                <c:pt idx="288">
                  <c:v>1.5599740212094433</c:v>
                </c:pt>
                <c:pt idx="289">
                  <c:v>1.5583520189535935</c:v>
                </c:pt>
                <c:pt idx="290">
                  <c:v>1.5556937548389544</c:v>
                </c:pt>
                <c:pt idx="291">
                  <c:v>1.5524064718828825</c:v>
                </c:pt>
                <c:pt idx="292">
                  <c:v>1.5480073527059588</c:v>
                </c:pt>
                <c:pt idx="293">
                  <c:v>1.5431177706733259</c:v>
                </c:pt>
                <c:pt idx="294">
                  <c:v>1.537040014664337</c:v>
                </c:pt>
                <c:pt idx="295">
                  <c:v>1.5306318877651484</c:v>
                </c:pt>
                <c:pt idx="296">
                  <c:v>1.5229781584189475</c:v>
                </c:pt>
                <c:pt idx="297">
                  <c:v>1.5151581171902708</c:v>
                </c:pt>
                <c:pt idx="298">
                  <c:v>1.5060535444444723</c:v>
                </c:pt>
                <c:pt idx="299">
                  <c:v>1.4969469962217619</c:v>
                </c:pt>
                <c:pt idx="300">
                  <c:v>1.4864656630242357</c:v>
                </c:pt>
                <c:pt idx="301">
                  <c:v>1.4762086151205382</c:v>
                </c:pt>
                <c:pt idx="302">
                  <c:v>1.4647162637082516</c:v>
                </c:pt>
                <c:pt idx="303">
                  <c:v>1.4534650158969107</c:v>
                </c:pt>
                <c:pt idx="304">
                  <c:v>1.440829208017619</c:v>
                </c:pt>
                <c:pt idx="305">
                  <c:v>1.4287316122899656</c:v>
                </c:pt>
                <c:pt idx="306">
                  <c:v>1.4153526030053751</c:v>
                </c:pt>
                <c:pt idx="307">
                  <c:v>1.402566326835142</c:v>
                </c:pt>
                <c:pt idx="308">
                  <c:v>1.3885297643129237</c:v>
                </c:pt>
                <c:pt idx="309">
                  <c:v>1.375206152390354</c:v>
                </c:pt>
                <c:pt idx="310">
                  <c:v>1.3607655316576561</c:v>
                </c:pt>
                <c:pt idx="311">
                  <c:v>1.3470507063235759</c:v>
                </c:pt>
                <c:pt idx="312">
                  <c:v>1.3320743684090723</c:v>
                </c:pt>
                <c:pt idx="313">
                  <c:v>1.3181024189156274</c:v>
                </c:pt>
                <c:pt idx="314">
                  <c:v>1.3030150412686112</c:v>
                </c:pt>
                <c:pt idx="315">
                  <c:v>1.288912596377594</c:v>
                </c:pt>
                <c:pt idx="316">
                  <c:v>1.2737478255362595</c:v>
                </c:pt>
                <c:pt idx="317">
                  <c:v>1.2596286762233708</c:v>
                </c:pt>
                <c:pt idx="318">
                  <c:v>1.2445020832587141</c:v>
                </c:pt>
                <c:pt idx="319">
                  <c:v>1.2304676157904324</c:v>
                </c:pt>
                <c:pt idx="320">
                  <c:v>1.2153854784865972</c:v>
                </c:pt>
                <c:pt idx="321">
                  <c:v>1.2015252491216566</c:v>
                </c:pt>
                <c:pt idx="322">
                  <c:v>1.1866746277034985</c:v>
                </c:pt>
                <c:pt idx="323">
                  <c:v>1.1730657100567712</c:v>
                </c:pt>
                <c:pt idx="324">
                  <c:v>1.1585234444698607</c:v>
                </c:pt>
                <c:pt idx="325">
                  <c:v>1.1452310877819185</c:v>
                </c:pt>
                <c:pt idx="326">
                  <c:v>1.1310616057065837</c:v>
                </c:pt>
                <c:pt idx="327">
                  <c:v>1.1181400546231763</c:v>
                </c:pt>
                <c:pt idx="328">
                  <c:v>1.1044832557862692</c:v>
                </c:pt>
                <c:pt idx="329">
                  <c:v>1.091975210765024</c:v>
                </c:pt>
                <c:pt idx="330">
                  <c:v>1.0787821696758828</c:v>
                </c:pt>
                <c:pt idx="331">
                  <c:v>1.0667224569152647</c:v>
                </c:pt>
                <c:pt idx="332">
                  <c:v>1.0540262827795821</c:v>
                </c:pt>
                <c:pt idx="333">
                  <c:v>1.0424417749674277</c:v>
                </c:pt>
                <c:pt idx="334">
                  <c:v>1.0302673306773578</c:v>
                </c:pt>
                <c:pt idx="335">
                  <c:v>1.0191779351701531</c:v>
                </c:pt>
                <c:pt idx="336">
                  <c:v>1.0074695253888886</c:v>
                </c:pt>
                <c:pt idx="337">
                  <c:v>0.99689084715344689</c:v>
                </c:pt>
                <c:pt idx="338">
                  <c:v>0.98580983178362502</c:v>
                </c:pt>
                <c:pt idx="339">
                  <c:v>0.97574893726914624</c:v>
                </c:pt>
                <c:pt idx="340">
                  <c:v>0.96522675111093548</c:v>
                </c:pt>
                <c:pt idx="341">
                  <c:v>0.95568814300854044</c:v>
                </c:pt>
                <c:pt idx="342">
                  <c:v>0.94572771428002977</c:v>
                </c:pt>
                <c:pt idx="343">
                  <c:v>0.93671233362699491</c:v>
                </c:pt>
                <c:pt idx="344">
                  <c:v>0.92731304184407604</c:v>
                </c:pt>
                <c:pt idx="345">
                  <c:v>0.91881904818248805</c:v>
                </c:pt>
                <c:pt idx="346">
                  <c:v>0.90997758189898315</c:v>
                </c:pt>
                <c:pt idx="347">
                  <c:v>0.90200086543900837</c:v>
                </c:pt>
                <c:pt idx="348">
                  <c:v>0.8936595848473492</c:v>
                </c:pt>
                <c:pt idx="349">
                  <c:v>0.88619604785973716</c:v>
                </c:pt>
                <c:pt idx="350">
                  <c:v>0.87840549272204727</c:v>
                </c:pt>
                <c:pt idx="351">
                  <c:v>0.87144785886129017</c:v>
                </c:pt>
                <c:pt idx="352">
                  <c:v>0.86419979065889907</c:v>
                </c:pt>
                <c:pt idx="353">
                  <c:v>0.8577400915777027</c:v>
                </c:pt>
                <c:pt idx="354">
                  <c:v>0.85102543275867715</c:v>
                </c:pt>
                <c:pt idx="355">
                  <c:v>0.84505503347162636</c:v>
                </c:pt>
                <c:pt idx="356">
                  <c:v>0.83890293900122026</c:v>
                </c:pt>
                <c:pt idx="357">
                  <c:v>0.83341136866570709</c:v>
                </c:pt>
                <c:pt idx="358">
                  <c:v>0.82776865175149028</c:v>
                </c:pt>
                <c:pt idx="359">
                  <c:v>0.82274700694448866</c:v>
                </c:pt>
                <c:pt idx="360">
                  <c:v>0.81760422845495584</c:v>
                </c:pt>
                <c:pt idx="361">
                  <c:v>0.81304389694270807</c:v>
                </c:pt>
                <c:pt idx="362">
                  <c:v>0.80839179923698734</c:v>
                </c:pt>
                <c:pt idx="363">
                  <c:v>0.80428442981820558</c:v>
                </c:pt>
                <c:pt idx="364">
                  <c:v>0.80008837442548608</c:v>
                </c:pt>
                <c:pt idx="365">
                  <c:v>0.79642746335422909</c:v>
                </c:pt>
                <c:pt idx="366">
                  <c:v>0.79270981600661228</c:v>
                </c:pt>
                <c:pt idx="367">
                  <c:v>0.78948798950637245</c:v>
                </c:pt>
                <c:pt idx="368">
                  <c:v>0.78624114215867835</c:v>
                </c:pt>
                <c:pt idx="369">
                  <c:v>0.78345170204715853</c:v>
                </c:pt>
                <c:pt idx="370">
                  <c:v>0.78068568664445082</c:v>
                </c:pt>
                <c:pt idx="371">
                  <c:v>0.77832135668542968</c:v>
                </c:pt>
                <c:pt idx="372">
                  <c:v>0.77600881193740512</c:v>
                </c:pt>
                <c:pt idx="373">
                  <c:v>0.77406433732947044</c:v>
                </c:pt>
                <c:pt idx="374">
                  <c:v>0.77220022850099423</c:v>
                </c:pt>
                <c:pt idx="375">
                  <c:v>0.7706713320438402</c:v>
                </c:pt>
                <c:pt idx="376">
                  <c:v>0.76925150192657465</c:v>
                </c:pt>
                <c:pt idx="377">
                  <c:v>0.76813478409311753</c:v>
                </c:pt>
                <c:pt idx="378">
                  <c:v>0.7671559625334553</c:v>
                </c:pt>
                <c:pt idx="379">
                  <c:v>0.76644892878151982</c:v>
                </c:pt>
                <c:pt idx="380">
                  <c:v>0.76590894446355462</c:v>
                </c:pt>
                <c:pt idx="381">
                  <c:v>0.76560998898490984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E454-49FE-809F-D5B4A31FCE39}"/>
            </c:ext>
          </c:extLst>
        </c:ser>
        <c:ser>
          <c:idx val="2"/>
          <c:order val="2"/>
          <c:tx>
            <c:strRef>
              <c:f>DTDRpat_result0!$I$1</c:f>
              <c:strCache>
                <c:ptCount val="1"/>
                <c:pt idx="0">
                  <c:v>F=8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DTDRpat_result0!$H$2:$H$427</c:f>
              <c:numCache>
                <c:formatCode>General</c:formatCode>
                <c:ptCount val="426"/>
                <c:pt idx="0">
                  <c:v>6.2630000000000012E-3</c:v>
                </c:pt>
                <c:pt idx="1">
                  <c:v>6.2630000000000012E-3</c:v>
                </c:pt>
                <c:pt idx="2">
                  <c:v>1.8851630000000021</c:v>
                </c:pt>
                <c:pt idx="3">
                  <c:v>1.8851630000000021</c:v>
                </c:pt>
                <c:pt idx="4">
                  <c:v>3.7891150000000429</c:v>
                </c:pt>
                <c:pt idx="5">
                  <c:v>3.7891150000000429</c:v>
                </c:pt>
                <c:pt idx="6">
                  <c:v>5.6680149999999898</c:v>
                </c:pt>
                <c:pt idx="7">
                  <c:v>5.6680149999999898</c:v>
                </c:pt>
                <c:pt idx="8">
                  <c:v>7.5657039999999816</c:v>
                </c:pt>
                <c:pt idx="9">
                  <c:v>7.5657039999999816</c:v>
                </c:pt>
                <c:pt idx="10">
                  <c:v>9.4508670000001374</c:v>
                </c:pt>
                <c:pt idx="11">
                  <c:v>9.4508670000001374</c:v>
                </c:pt>
                <c:pt idx="12">
                  <c:v>11.329767000000343</c:v>
                </c:pt>
                <c:pt idx="13">
                  <c:v>11.329767000000343</c:v>
                </c:pt>
                <c:pt idx="14">
                  <c:v>13.208667000000569</c:v>
                </c:pt>
                <c:pt idx="15">
                  <c:v>13.208667000000569</c:v>
                </c:pt>
                <c:pt idx="16">
                  <c:v>15.106356000000735</c:v>
                </c:pt>
                <c:pt idx="17">
                  <c:v>15.106356000000735</c:v>
                </c:pt>
                <c:pt idx="18">
                  <c:v>16.991519000000864</c:v>
                </c:pt>
                <c:pt idx="19">
                  <c:v>16.991519000000864</c:v>
                </c:pt>
                <c:pt idx="20">
                  <c:v>18.920523000001062</c:v>
                </c:pt>
                <c:pt idx="21">
                  <c:v>18.920523000001062</c:v>
                </c:pt>
                <c:pt idx="22">
                  <c:v>20.830738000001276</c:v>
                </c:pt>
                <c:pt idx="23">
                  <c:v>20.830738000001276</c:v>
                </c:pt>
                <c:pt idx="24">
                  <c:v>22.734690000001489</c:v>
                </c:pt>
                <c:pt idx="25">
                  <c:v>22.734690000001489</c:v>
                </c:pt>
                <c:pt idx="26">
                  <c:v>24.632379000001709</c:v>
                </c:pt>
                <c:pt idx="27">
                  <c:v>24.632379000001709</c:v>
                </c:pt>
                <c:pt idx="28">
                  <c:v>26.530068000001961</c:v>
                </c:pt>
                <c:pt idx="29">
                  <c:v>26.530068000001961</c:v>
                </c:pt>
                <c:pt idx="30">
                  <c:v>28.408968000002208</c:v>
                </c:pt>
                <c:pt idx="31">
                  <c:v>28.408968000002208</c:v>
                </c:pt>
                <c:pt idx="32">
                  <c:v>30.300394000002274</c:v>
                </c:pt>
                <c:pt idx="33">
                  <c:v>30.300394000002274</c:v>
                </c:pt>
                <c:pt idx="34">
                  <c:v>32.191820000002224</c:v>
                </c:pt>
                <c:pt idx="35">
                  <c:v>32.191820000002224</c:v>
                </c:pt>
                <c:pt idx="36">
                  <c:v>34.083246000001388</c:v>
                </c:pt>
                <c:pt idx="37">
                  <c:v>34.083246000001388</c:v>
                </c:pt>
                <c:pt idx="38">
                  <c:v>35.962146000000565</c:v>
                </c:pt>
                <c:pt idx="39">
                  <c:v>35.962146000000565</c:v>
                </c:pt>
                <c:pt idx="40">
                  <c:v>37.841045999999736</c:v>
                </c:pt>
                <c:pt idx="41">
                  <c:v>37.841045999999736</c:v>
                </c:pt>
                <c:pt idx="42">
                  <c:v>39.732471999998907</c:v>
                </c:pt>
                <c:pt idx="43">
                  <c:v>39.732471999998907</c:v>
                </c:pt>
                <c:pt idx="44">
                  <c:v>41.623897999998071</c:v>
                </c:pt>
                <c:pt idx="45">
                  <c:v>41.623897999998071</c:v>
                </c:pt>
                <c:pt idx="46">
                  <c:v>43.515323999997243</c:v>
                </c:pt>
                <c:pt idx="47">
                  <c:v>43.515323999997243</c:v>
                </c:pt>
                <c:pt idx="48">
                  <c:v>45.394223999996413</c:v>
                </c:pt>
                <c:pt idx="49">
                  <c:v>45.394223999996413</c:v>
                </c:pt>
                <c:pt idx="50">
                  <c:v>47.285649999995584</c:v>
                </c:pt>
                <c:pt idx="51">
                  <c:v>47.285649999995584</c:v>
                </c:pt>
                <c:pt idx="52">
                  <c:v>49.164549999994755</c:v>
                </c:pt>
                <c:pt idx="53">
                  <c:v>49.164549999994755</c:v>
                </c:pt>
                <c:pt idx="54">
                  <c:v>51.062238999993923</c:v>
                </c:pt>
                <c:pt idx="55">
                  <c:v>51.062238999993923</c:v>
                </c:pt>
                <c:pt idx="56">
                  <c:v>52.9411389999931</c:v>
                </c:pt>
                <c:pt idx="57">
                  <c:v>52.9411389999931</c:v>
                </c:pt>
                <c:pt idx="58">
                  <c:v>54.832564999992265</c:v>
                </c:pt>
                <c:pt idx="59">
                  <c:v>54.832564999992265</c:v>
                </c:pt>
                <c:pt idx="60">
                  <c:v>56.717727999991439</c:v>
                </c:pt>
                <c:pt idx="61">
                  <c:v>56.717727999991439</c:v>
                </c:pt>
                <c:pt idx="62">
                  <c:v>58.59662799999041</c:v>
                </c:pt>
                <c:pt idx="63">
                  <c:v>58.59662799999041</c:v>
                </c:pt>
                <c:pt idx="64">
                  <c:v>60.494316999989287</c:v>
                </c:pt>
                <c:pt idx="65">
                  <c:v>60.494316999989287</c:v>
                </c:pt>
                <c:pt idx="66">
                  <c:v>62.37321699998818</c:v>
                </c:pt>
                <c:pt idx="67">
                  <c:v>62.37321699998818</c:v>
                </c:pt>
                <c:pt idx="68">
                  <c:v>64.264642999987458</c:v>
                </c:pt>
                <c:pt idx="69">
                  <c:v>64.264642999987458</c:v>
                </c:pt>
                <c:pt idx="70">
                  <c:v>66.149805999988899</c:v>
                </c:pt>
                <c:pt idx="71">
                  <c:v>66.149805999988899</c:v>
                </c:pt>
                <c:pt idx="72">
                  <c:v>68.04123199999033</c:v>
                </c:pt>
                <c:pt idx="73">
                  <c:v>68.04123199999033</c:v>
                </c:pt>
                <c:pt idx="74">
                  <c:v>69.932657999992031</c:v>
                </c:pt>
                <c:pt idx="75">
                  <c:v>69.932657999992031</c:v>
                </c:pt>
                <c:pt idx="76">
                  <c:v>71.811557999993852</c:v>
                </c:pt>
                <c:pt idx="77">
                  <c:v>71.811557999993852</c:v>
                </c:pt>
                <c:pt idx="78">
                  <c:v>73.690457999995672</c:v>
                </c:pt>
                <c:pt idx="79">
                  <c:v>73.690457999995672</c:v>
                </c:pt>
                <c:pt idx="80">
                  <c:v>75.588146999997534</c:v>
                </c:pt>
                <c:pt idx="81">
                  <c:v>75.588146999997534</c:v>
                </c:pt>
                <c:pt idx="82">
                  <c:v>77.467046999999354</c:v>
                </c:pt>
                <c:pt idx="83">
                  <c:v>77.467046999999354</c:v>
                </c:pt>
                <c:pt idx="84">
                  <c:v>79.358473000001183</c:v>
                </c:pt>
                <c:pt idx="85">
                  <c:v>79.358473000001183</c:v>
                </c:pt>
                <c:pt idx="86">
                  <c:v>81.24989900000304</c:v>
                </c:pt>
                <c:pt idx="87">
                  <c:v>81.24989900000304</c:v>
                </c:pt>
                <c:pt idx="88">
                  <c:v>83.141325000004883</c:v>
                </c:pt>
                <c:pt idx="89">
                  <c:v>83.141325000004883</c:v>
                </c:pt>
                <c:pt idx="90">
                  <c:v>85.020225000006718</c:v>
                </c:pt>
                <c:pt idx="91">
                  <c:v>85.020225000006718</c:v>
                </c:pt>
                <c:pt idx="92">
                  <c:v>86.899125000008539</c:v>
                </c:pt>
                <c:pt idx="93">
                  <c:v>86.899125000008539</c:v>
                </c:pt>
                <c:pt idx="94">
                  <c:v>88.790551000010367</c:v>
                </c:pt>
                <c:pt idx="95">
                  <c:v>88.790551000010367</c:v>
                </c:pt>
                <c:pt idx="96">
                  <c:v>90.681977000012225</c:v>
                </c:pt>
                <c:pt idx="97">
                  <c:v>90.681977000012225</c:v>
                </c:pt>
                <c:pt idx="98">
                  <c:v>92.573403000014096</c:v>
                </c:pt>
                <c:pt idx="99">
                  <c:v>92.573403000014096</c:v>
                </c:pt>
                <c:pt idx="100">
                  <c:v>94.452303000016087</c:v>
                </c:pt>
                <c:pt idx="101">
                  <c:v>94.452303000016087</c:v>
                </c:pt>
                <c:pt idx="102">
                  <c:v>96.331203000018064</c:v>
                </c:pt>
                <c:pt idx="103">
                  <c:v>96.331203000018064</c:v>
                </c:pt>
                <c:pt idx="104">
                  <c:v>98.228892000020082</c:v>
                </c:pt>
                <c:pt idx="105">
                  <c:v>98.228892000020082</c:v>
                </c:pt>
                <c:pt idx="106">
                  <c:v>100.12031800002208</c:v>
                </c:pt>
                <c:pt idx="107">
                  <c:v>100.12031800002208</c:v>
                </c:pt>
                <c:pt idx="108">
                  <c:v>101.99921800002406</c:v>
                </c:pt>
                <c:pt idx="109">
                  <c:v>101.99921800002406</c:v>
                </c:pt>
                <c:pt idx="110">
                  <c:v>103.87811800002605</c:v>
                </c:pt>
                <c:pt idx="111">
                  <c:v>103.87811800002605</c:v>
                </c:pt>
                <c:pt idx="112">
                  <c:v>105.75701800002803</c:v>
                </c:pt>
                <c:pt idx="113">
                  <c:v>105.75701800002803</c:v>
                </c:pt>
                <c:pt idx="114">
                  <c:v>107.65470700003004</c:v>
                </c:pt>
                <c:pt idx="115">
                  <c:v>107.65470700003004</c:v>
                </c:pt>
                <c:pt idx="116">
                  <c:v>109.54613300003204</c:v>
                </c:pt>
                <c:pt idx="117">
                  <c:v>109.54613300003204</c:v>
                </c:pt>
                <c:pt idx="118">
                  <c:v>111.43755900003404</c:v>
                </c:pt>
                <c:pt idx="119">
                  <c:v>111.43755900003404</c:v>
                </c:pt>
                <c:pt idx="120">
                  <c:v>113.32898500003604</c:v>
                </c:pt>
                <c:pt idx="121">
                  <c:v>113.32898500003604</c:v>
                </c:pt>
                <c:pt idx="122">
                  <c:v>115.20788500003803</c:v>
                </c:pt>
                <c:pt idx="123">
                  <c:v>115.20788500003803</c:v>
                </c:pt>
                <c:pt idx="124">
                  <c:v>117.08678500003998</c:v>
                </c:pt>
                <c:pt idx="125">
                  <c:v>117.08678500003998</c:v>
                </c:pt>
                <c:pt idx="126">
                  <c:v>118.96568500004193</c:v>
                </c:pt>
                <c:pt idx="127">
                  <c:v>118.96568500004193</c:v>
                </c:pt>
                <c:pt idx="128">
                  <c:v>120.85084800004387</c:v>
                </c:pt>
                <c:pt idx="129">
                  <c:v>120.85084800004387</c:v>
                </c:pt>
                <c:pt idx="130">
                  <c:v>122.74853700004584</c:v>
                </c:pt>
                <c:pt idx="131">
                  <c:v>122.74853700004584</c:v>
                </c:pt>
                <c:pt idx="132">
                  <c:v>124.6399630000478</c:v>
                </c:pt>
                <c:pt idx="133">
                  <c:v>124.6399630000478</c:v>
                </c:pt>
                <c:pt idx="134">
                  <c:v>126.53138900004976</c:v>
                </c:pt>
                <c:pt idx="135">
                  <c:v>126.53138900004976</c:v>
                </c:pt>
                <c:pt idx="136">
                  <c:v>128.42281500005069</c:v>
                </c:pt>
                <c:pt idx="137">
                  <c:v>128.42281500005069</c:v>
                </c:pt>
                <c:pt idx="138">
                  <c:v>130.31424100004827</c:v>
                </c:pt>
                <c:pt idx="139">
                  <c:v>130.31424100004827</c:v>
                </c:pt>
                <c:pt idx="140">
                  <c:v>132.20566700004582</c:v>
                </c:pt>
                <c:pt idx="141">
                  <c:v>132.20566700004582</c:v>
                </c:pt>
                <c:pt idx="142">
                  <c:v>134.09083000004341</c:v>
                </c:pt>
                <c:pt idx="143">
                  <c:v>134.09083000004341</c:v>
                </c:pt>
                <c:pt idx="144">
                  <c:v>135.96973000004098</c:v>
                </c:pt>
                <c:pt idx="145">
                  <c:v>135.96973000004098</c:v>
                </c:pt>
                <c:pt idx="146">
                  <c:v>137.86115600003856</c:v>
                </c:pt>
                <c:pt idx="147">
                  <c:v>137.86115600003856</c:v>
                </c:pt>
                <c:pt idx="148">
                  <c:v>139.75258200003611</c:v>
                </c:pt>
                <c:pt idx="149">
                  <c:v>139.75258200003611</c:v>
                </c:pt>
                <c:pt idx="150">
                  <c:v>141.64400800003369</c:v>
                </c:pt>
                <c:pt idx="151">
                  <c:v>141.64400800003369</c:v>
                </c:pt>
                <c:pt idx="152">
                  <c:v>143.52917100003125</c:v>
                </c:pt>
                <c:pt idx="153">
                  <c:v>143.52917100003125</c:v>
                </c:pt>
                <c:pt idx="154">
                  <c:v>145.42059700002883</c:v>
                </c:pt>
                <c:pt idx="155">
                  <c:v>145.42059700002883</c:v>
                </c:pt>
                <c:pt idx="156">
                  <c:v>147.30576000002642</c:v>
                </c:pt>
                <c:pt idx="157">
                  <c:v>147.30576000002642</c:v>
                </c:pt>
                <c:pt idx="158">
                  <c:v>149.184660000024</c:v>
                </c:pt>
                <c:pt idx="159">
                  <c:v>149.184660000024</c:v>
                </c:pt>
                <c:pt idx="160">
                  <c:v>151.07608600002158</c:v>
                </c:pt>
                <c:pt idx="161">
                  <c:v>151.07608600002158</c:v>
                </c:pt>
                <c:pt idx="162">
                  <c:v>152.95498600001915</c:v>
                </c:pt>
                <c:pt idx="163">
                  <c:v>152.95498600001915</c:v>
                </c:pt>
                <c:pt idx="164">
                  <c:v>154.8464120000167</c:v>
                </c:pt>
                <c:pt idx="165">
                  <c:v>154.8464120000167</c:v>
                </c:pt>
                <c:pt idx="166">
                  <c:v>156.7253120000143</c:v>
                </c:pt>
                <c:pt idx="167">
                  <c:v>156.7253120000143</c:v>
                </c:pt>
                <c:pt idx="168">
                  <c:v>158.60421200001187</c:v>
                </c:pt>
                <c:pt idx="169">
                  <c:v>158.60421200001187</c:v>
                </c:pt>
                <c:pt idx="170">
                  <c:v>160.48311200000947</c:v>
                </c:pt>
                <c:pt idx="171">
                  <c:v>160.48311200000947</c:v>
                </c:pt>
                <c:pt idx="172">
                  <c:v>162.37453800000702</c:v>
                </c:pt>
                <c:pt idx="173">
                  <c:v>162.37453800000702</c:v>
                </c:pt>
                <c:pt idx="174">
                  <c:v>164.2659640000046</c:v>
                </c:pt>
                <c:pt idx="175">
                  <c:v>164.2659640000046</c:v>
                </c:pt>
                <c:pt idx="176">
                  <c:v>166.14486400000217</c:v>
                </c:pt>
                <c:pt idx="177">
                  <c:v>166.14486400000217</c:v>
                </c:pt>
                <c:pt idx="178">
                  <c:v>168.03628999999975</c:v>
                </c:pt>
                <c:pt idx="179">
                  <c:v>168.03628999999975</c:v>
                </c:pt>
                <c:pt idx="180">
                  <c:v>169.9277159999973</c:v>
                </c:pt>
                <c:pt idx="181">
                  <c:v>169.9277159999973</c:v>
                </c:pt>
                <c:pt idx="182">
                  <c:v>171.8066159999949</c:v>
                </c:pt>
                <c:pt idx="183">
                  <c:v>171.8066159999949</c:v>
                </c:pt>
                <c:pt idx="184">
                  <c:v>173.69804199999245</c:v>
                </c:pt>
                <c:pt idx="185">
                  <c:v>173.69804199999245</c:v>
                </c:pt>
                <c:pt idx="186">
                  <c:v>175.58946799999003</c:v>
                </c:pt>
                <c:pt idx="187">
                  <c:v>175.58946799999003</c:v>
                </c:pt>
                <c:pt idx="188">
                  <c:v>177.48089399998759</c:v>
                </c:pt>
                <c:pt idx="189">
                  <c:v>177.48089399998759</c:v>
                </c:pt>
                <c:pt idx="190">
                  <c:v>179.36605699998518</c:v>
                </c:pt>
                <c:pt idx="191">
                  <c:v>179.36605699998518</c:v>
                </c:pt>
                <c:pt idx="192">
                  <c:v>181.25748299998276</c:v>
                </c:pt>
                <c:pt idx="193">
                  <c:v>181.25748299998276</c:v>
                </c:pt>
                <c:pt idx="194">
                  <c:v>183.14890899998031</c:v>
                </c:pt>
                <c:pt idx="195">
                  <c:v>183.14890899998031</c:v>
                </c:pt>
                <c:pt idx="196">
                  <c:v>185.0340719999779</c:v>
                </c:pt>
                <c:pt idx="197">
                  <c:v>185.0340719999779</c:v>
                </c:pt>
                <c:pt idx="198">
                  <c:v>186.92549799997545</c:v>
                </c:pt>
                <c:pt idx="199">
                  <c:v>186.92549799997545</c:v>
                </c:pt>
                <c:pt idx="200">
                  <c:v>188.81066099997304</c:v>
                </c:pt>
                <c:pt idx="201">
                  <c:v>188.81066099997304</c:v>
                </c:pt>
                <c:pt idx="202">
                  <c:v>190.6958239999706</c:v>
                </c:pt>
                <c:pt idx="203">
                  <c:v>190.6958239999706</c:v>
                </c:pt>
                <c:pt idx="204">
                  <c:v>192.5747239999682</c:v>
                </c:pt>
                <c:pt idx="205">
                  <c:v>192.5747239999682</c:v>
                </c:pt>
                <c:pt idx="206">
                  <c:v>194.45988699996576</c:v>
                </c:pt>
                <c:pt idx="207">
                  <c:v>194.45988699996576</c:v>
                </c:pt>
                <c:pt idx="208">
                  <c:v>196.33878699996336</c:v>
                </c:pt>
                <c:pt idx="209">
                  <c:v>196.33878699996336</c:v>
                </c:pt>
                <c:pt idx="210">
                  <c:v>198.23021299996091</c:v>
                </c:pt>
                <c:pt idx="211">
                  <c:v>198.23021299996091</c:v>
                </c:pt>
                <c:pt idx="212">
                  <c:v>200.1153759999585</c:v>
                </c:pt>
                <c:pt idx="213">
                  <c:v>200.1153759999585</c:v>
                </c:pt>
                <c:pt idx="214">
                  <c:v>202.00680199995605</c:v>
                </c:pt>
                <c:pt idx="215">
                  <c:v>202.00680199995605</c:v>
                </c:pt>
                <c:pt idx="216">
                  <c:v>203.89822799995363</c:v>
                </c:pt>
                <c:pt idx="217">
                  <c:v>203.89822799995363</c:v>
                </c:pt>
                <c:pt idx="218">
                  <c:v>205.78339099995119</c:v>
                </c:pt>
                <c:pt idx="219">
                  <c:v>205.78339099995119</c:v>
                </c:pt>
                <c:pt idx="220">
                  <c:v>207.66855399994878</c:v>
                </c:pt>
                <c:pt idx="221">
                  <c:v>207.66855399994878</c:v>
                </c:pt>
                <c:pt idx="222">
                  <c:v>209.55371699994635</c:v>
                </c:pt>
                <c:pt idx="223">
                  <c:v>209.55371699994635</c:v>
                </c:pt>
                <c:pt idx="224">
                  <c:v>211.43887999994394</c:v>
                </c:pt>
                <c:pt idx="225">
                  <c:v>211.43887999994394</c:v>
                </c:pt>
                <c:pt idx="226">
                  <c:v>213.3240429999415</c:v>
                </c:pt>
                <c:pt idx="227">
                  <c:v>213.3240429999415</c:v>
                </c:pt>
                <c:pt idx="228">
                  <c:v>215.2029429999391</c:v>
                </c:pt>
                <c:pt idx="229">
                  <c:v>215.2029429999391</c:v>
                </c:pt>
                <c:pt idx="230">
                  <c:v>217.09436899993665</c:v>
                </c:pt>
                <c:pt idx="231">
                  <c:v>217.09436899993665</c:v>
                </c:pt>
                <c:pt idx="232">
                  <c:v>218.98579499993423</c:v>
                </c:pt>
                <c:pt idx="233">
                  <c:v>218.98579499993423</c:v>
                </c:pt>
                <c:pt idx="234">
                  <c:v>220.87095799993179</c:v>
                </c:pt>
                <c:pt idx="235">
                  <c:v>220.87095799993179</c:v>
                </c:pt>
                <c:pt idx="236">
                  <c:v>222.75612099992938</c:v>
                </c:pt>
                <c:pt idx="237">
                  <c:v>222.75612099992938</c:v>
                </c:pt>
                <c:pt idx="238">
                  <c:v>224.64128399992694</c:v>
                </c:pt>
                <c:pt idx="239">
                  <c:v>224.64128399992694</c:v>
                </c:pt>
                <c:pt idx="240">
                  <c:v>226.53270999992452</c:v>
                </c:pt>
                <c:pt idx="241">
                  <c:v>226.53270999992452</c:v>
                </c:pt>
                <c:pt idx="242">
                  <c:v>228.42413599992207</c:v>
                </c:pt>
                <c:pt idx="243">
                  <c:v>228.42413599992207</c:v>
                </c:pt>
                <c:pt idx="244">
                  <c:v>230.30929899992211</c:v>
                </c:pt>
                <c:pt idx="245">
                  <c:v>230.30929899992211</c:v>
                </c:pt>
                <c:pt idx="246">
                  <c:v>232.19446199992382</c:v>
                </c:pt>
                <c:pt idx="247">
                  <c:v>232.19446199992382</c:v>
                </c:pt>
                <c:pt idx="248">
                  <c:v>234.07336199992565</c:v>
                </c:pt>
                <c:pt idx="249">
                  <c:v>234.07336199992565</c:v>
                </c:pt>
                <c:pt idx="250">
                  <c:v>235.96478799992752</c:v>
                </c:pt>
                <c:pt idx="251">
                  <c:v>235.96478799992752</c:v>
                </c:pt>
                <c:pt idx="252">
                  <c:v>237.84368799992936</c:v>
                </c:pt>
                <c:pt idx="253">
                  <c:v>237.84368799992936</c:v>
                </c:pt>
                <c:pt idx="254">
                  <c:v>239.72885099993115</c:v>
                </c:pt>
                <c:pt idx="255">
                  <c:v>239.72885099993115</c:v>
                </c:pt>
                <c:pt idx="256">
                  <c:v>241.60775099993299</c:v>
                </c:pt>
                <c:pt idx="257">
                  <c:v>241.60775099993299</c:v>
                </c:pt>
                <c:pt idx="258">
                  <c:v>243.48665099993485</c:v>
                </c:pt>
                <c:pt idx="259">
                  <c:v>243.48665099993485</c:v>
                </c:pt>
                <c:pt idx="260">
                  <c:v>245.37807699993664</c:v>
                </c:pt>
                <c:pt idx="261">
                  <c:v>245.37807699993664</c:v>
                </c:pt>
                <c:pt idx="262">
                  <c:v>247.26950299993851</c:v>
                </c:pt>
                <c:pt idx="263">
                  <c:v>247.26950299993851</c:v>
                </c:pt>
                <c:pt idx="264">
                  <c:v>249.15466599994036</c:v>
                </c:pt>
                <c:pt idx="265">
                  <c:v>249.15466599994036</c:v>
                </c:pt>
                <c:pt idx="266">
                  <c:v>251.03982899994216</c:v>
                </c:pt>
                <c:pt idx="267">
                  <c:v>251.03982899994216</c:v>
                </c:pt>
                <c:pt idx="268">
                  <c:v>252.931254999944</c:v>
                </c:pt>
                <c:pt idx="269">
                  <c:v>252.931254999944</c:v>
                </c:pt>
                <c:pt idx="270">
                  <c:v>254.82268099994587</c:v>
                </c:pt>
                <c:pt idx="271">
                  <c:v>254.82268099994587</c:v>
                </c:pt>
                <c:pt idx="272">
                  <c:v>256.71410699994607</c:v>
                </c:pt>
                <c:pt idx="273">
                  <c:v>256.71410699994607</c:v>
                </c:pt>
                <c:pt idx="274">
                  <c:v>258.59926999994366</c:v>
                </c:pt>
                <c:pt idx="275">
                  <c:v>258.59926999994366</c:v>
                </c:pt>
                <c:pt idx="276">
                  <c:v>260.49069599994124</c:v>
                </c:pt>
                <c:pt idx="277">
                  <c:v>260.49069599994124</c:v>
                </c:pt>
                <c:pt idx="278">
                  <c:v>262.38212199993882</c:v>
                </c:pt>
                <c:pt idx="279">
                  <c:v>262.38212199993882</c:v>
                </c:pt>
                <c:pt idx="280">
                  <c:v>264.27354799993634</c:v>
                </c:pt>
                <c:pt idx="281">
                  <c:v>264.27354799993634</c:v>
                </c:pt>
                <c:pt idx="282">
                  <c:v>266.15871099993393</c:v>
                </c:pt>
                <c:pt idx="283">
                  <c:v>266.15871099993393</c:v>
                </c:pt>
                <c:pt idx="284">
                  <c:v>268.04387399993152</c:v>
                </c:pt>
                <c:pt idx="285">
                  <c:v>268.04387399993152</c:v>
                </c:pt>
                <c:pt idx="286">
                  <c:v>269.92903699992911</c:v>
                </c:pt>
                <c:pt idx="287">
                  <c:v>269.92903699992911</c:v>
                </c:pt>
                <c:pt idx="288">
                  <c:v>271.81419999992664</c:v>
                </c:pt>
                <c:pt idx="289">
                  <c:v>271.81419999992664</c:v>
                </c:pt>
                <c:pt idx="290">
                  <c:v>273.70562599992422</c:v>
                </c:pt>
                <c:pt idx="291">
                  <c:v>273.70562599992422</c:v>
                </c:pt>
                <c:pt idx="292">
                  <c:v>275.59078899992181</c:v>
                </c:pt>
                <c:pt idx="293">
                  <c:v>275.59078899992181</c:v>
                </c:pt>
                <c:pt idx="294">
                  <c:v>277.4759519999194</c:v>
                </c:pt>
                <c:pt idx="295">
                  <c:v>277.4759519999194</c:v>
                </c:pt>
                <c:pt idx="296">
                  <c:v>279.36111499991694</c:v>
                </c:pt>
                <c:pt idx="297">
                  <c:v>279.36111499991694</c:v>
                </c:pt>
                <c:pt idx="298">
                  <c:v>281.24627799991453</c:v>
                </c:pt>
                <c:pt idx="299">
                  <c:v>281.24627799991453</c:v>
                </c:pt>
                <c:pt idx="300">
                  <c:v>283.13770399991211</c:v>
                </c:pt>
                <c:pt idx="301">
                  <c:v>283.13770399991211</c:v>
                </c:pt>
                <c:pt idx="302">
                  <c:v>285.01660399990971</c:v>
                </c:pt>
                <c:pt idx="303">
                  <c:v>285.01660399990971</c:v>
                </c:pt>
                <c:pt idx="304">
                  <c:v>286.90802999990723</c:v>
                </c:pt>
                <c:pt idx="305">
                  <c:v>286.90802999990723</c:v>
                </c:pt>
                <c:pt idx="306">
                  <c:v>288.79319299990482</c:v>
                </c:pt>
                <c:pt idx="307">
                  <c:v>288.79319299990482</c:v>
                </c:pt>
                <c:pt idx="308">
                  <c:v>290.67835599990241</c:v>
                </c:pt>
                <c:pt idx="309">
                  <c:v>290.67835599990241</c:v>
                </c:pt>
                <c:pt idx="310">
                  <c:v>292.55725599990001</c:v>
                </c:pt>
                <c:pt idx="311">
                  <c:v>292.55725599990001</c:v>
                </c:pt>
                <c:pt idx="312">
                  <c:v>294.44868199989753</c:v>
                </c:pt>
                <c:pt idx="313">
                  <c:v>294.44868199989753</c:v>
                </c:pt>
                <c:pt idx="314">
                  <c:v>296.33384499989512</c:v>
                </c:pt>
                <c:pt idx="315">
                  <c:v>296.33384499989512</c:v>
                </c:pt>
                <c:pt idx="316">
                  <c:v>298.21900799989271</c:v>
                </c:pt>
                <c:pt idx="317">
                  <c:v>298.21900799989271</c:v>
                </c:pt>
                <c:pt idx="318">
                  <c:v>300.1041709998903</c:v>
                </c:pt>
                <c:pt idx="319">
                  <c:v>300.1041709998903</c:v>
                </c:pt>
                <c:pt idx="320">
                  <c:v>301.99559699988788</c:v>
                </c:pt>
                <c:pt idx="321">
                  <c:v>301.99559699988788</c:v>
                </c:pt>
                <c:pt idx="322">
                  <c:v>303.8870229998854</c:v>
                </c:pt>
                <c:pt idx="323">
                  <c:v>303.8870229998854</c:v>
                </c:pt>
                <c:pt idx="324">
                  <c:v>305.77844899988298</c:v>
                </c:pt>
                <c:pt idx="325">
                  <c:v>305.77844899988298</c:v>
                </c:pt>
                <c:pt idx="326">
                  <c:v>307.66987499988056</c:v>
                </c:pt>
                <c:pt idx="327">
                  <c:v>307.66987499988056</c:v>
                </c:pt>
                <c:pt idx="328">
                  <c:v>309.55503799987815</c:v>
                </c:pt>
                <c:pt idx="329">
                  <c:v>309.55503799987815</c:v>
                </c:pt>
                <c:pt idx="330">
                  <c:v>311.44020099987569</c:v>
                </c:pt>
                <c:pt idx="331">
                  <c:v>311.44020099987569</c:v>
                </c:pt>
                <c:pt idx="332">
                  <c:v>313.32536399987328</c:v>
                </c:pt>
                <c:pt idx="333">
                  <c:v>313.32536399987328</c:v>
                </c:pt>
                <c:pt idx="334">
                  <c:v>315.21052699987086</c:v>
                </c:pt>
                <c:pt idx="335">
                  <c:v>315.21052699987086</c:v>
                </c:pt>
                <c:pt idx="336">
                  <c:v>317.10195299986844</c:v>
                </c:pt>
                <c:pt idx="337">
                  <c:v>317.10195299986844</c:v>
                </c:pt>
                <c:pt idx="338">
                  <c:v>318.98711599986598</c:v>
                </c:pt>
                <c:pt idx="339">
                  <c:v>318.98711599986598</c:v>
                </c:pt>
                <c:pt idx="340">
                  <c:v>320.87227899986357</c:v>
                </c:pt>
                <c:pt idx="341">
                  <c:v>320.87227899986357</c:v>
                </c:pt>
                <c:pt idx="342">
                  <c:v>322.75744199986116</c:v>
                </c:pt>
                <c:pt idx="343">
                  <c:v>322.75744199986116</c:v>
                </c:pt>
                <c:pt idx="344">
                  <c:v>324.64260499985875</c:v>
                </c:pt>
                <c:pt idx="345">
                  <c:v>324.64260499985875</c:v>
                </c:pt>
                <c:pt idx="346">
                  <c:v>326.52776799985628</c:v>
                </c:pt>
                <c:pt idx="347">
                  <c:v>326.52776799985628</c:v>
                </c:pt>
                <c:pt idx="348">
                  <c:v>328.41919399985386</c:v>
                </c:pt>
                <c:pt idx="349">
                  <c:v>328.41919399985386</c:v>
                </c:pt>
                <c:pt idx="350">
                  <c:v>330.31061999985144</c:v>
                </c:pt>
                <c:pt idx="351">
                  <c:v>330.31061999985144</c:v>
                </c:pt>
                <c:pt idx="352">
                  <c:v>332.20204599984902</c:v>
                </c:pt>
                <c:pt idx="353">
                  <c:v>332.20204599984902</c:v>
                </c:pt>
                <c:pt idx="354">
                  <c:v>334.09347199984654</c:v>
                </c:pt>
                <c:pt idx="355">
                  <c:v>334.09347199984654</c:v>
                </c:pt>
                <c:pt idx="356">
                  <c:v>335.97863499984413</c:v>
                </c:pt>
                <c:pt idx="357">
                  <c:v>335.97863499984413</c:v>
                </c:pt>
                <c:pt idx="358">
                  <c:v>337.86379799984172</c:v>
                </c:pt>
                <c:pt idx="359">
                  <c:v>337.86379799984172</c:v>
                </c:pt>
                <c:pt idx="360">
                  <c:v>339.74896099983931</c:v>
                </c:pt>
                <c:pt idx="361">
                  <c:v>339.74896099983931</c:v>
                </c:pt>
                <c:pt idx="362">
                  <c:v>341.63412399983685</c:v>
                </c:pt>
                <c:pt idx="363">
                  <c:v>341.63412399983685</c:v>
                </c:pt>
                <c:pt idx="364">
                  <c:v>343.52554999983442</c:v>
                </c:pt>
                <c:pt idx="365">
                  <c:v>343.52554999983442</c:v>
                </c:pt>
                <c:pt idx="366">
                  <c:v>345.416975999832</c:v>
                </c:pt>
                <c:pt idx="367">
                  <c:v>345.416975999832</c:v>
                </c:pt>
                <c:pt idx="368">
                  <c:v>347.30840199982958</c:v>
                </c:pt>
                <c:pt idx="369">
                  <c:v>347.30840199982958</c:v>
                </c:pt>
                <c:pt idx="370">
                  <c:v>349.19356499982717</c:v>
                </c:pt>
                <c:pt idx="371">
                  <c:v>349.19356499982717</c:v>
                </c:pt>
                <c:pt idx="372">
                  <c:v>351.07872799982471</c:v>
                </c:pt>
                <c:pt idx="373">
                  <c:v>351.07872799982471</c:v>
                </c:pt>
                <c:pt idx="374">
                  <c:v>352.9638909998223</c:v>
                </c:pt>
                <c:pt idx="375">
                  <c:v>352.9638909998223</c:v>
                </c:pt>
                <c:pt idx="376">
                  <c:v>354.84905399981989</c:v>
                </c:pt>
                <c:pt idx="377">
                  <c:v>354.84905399981989</c:v>
                </c:pt>
                <c:pt idx="378">
                  <c:v>356.73421699981748</c:v>
                </c:pt>
                <c:pt idx="379">
                  <c:v>356.73421699981748</c:v>
                </c:pt>
                <c:pt idx="380">
                  <c:v>358.61937999981501</c:v>
                </c:pt>
                <c:pt idx="381">
                  <c:v>358.61937999981501</c:v>
                </c:pt>
              </c:numCache>
            </c:numRef>
          </c:xVal>
          <c:yVal>
            <c:numRef>
              <c:f>DTDRpat_result0!$I$2:$I$427</c:f>
              <c:numCache>
                <c:formatCode>General</c:formatCode>
                <c:ptCount val="426"/>
                <c:pt idx="0">
                  <c:v>0.84224296081406436</c:v>
                </c:pt>
                <c:pt idx="1">
                  <c:v>0.84224421307871911</c:v>
                </c:pt>
                <c:pt idx="2">
                  <c:v>0.84225612927238447</c:v>
                </c:pt>
                <c:pt idx="3">
                  <c:v>0.8429698180275258</c:v>
                </c:pt>
                <c:pt idx="4">
                  <c:v>0.843020496114677</c:v>
                </c:pt>
                <c:pt idx="5">
                  <c:v>0.8444569301047723</c:v>
                </c:pt>
                <c:pt idx="6">
                  <c:v>0.8445168396950774</c:v>
                </c:pt>
                <c:pt idx="7">
                  <c:v>0.8466677457301055</c:v>
                </c:pt>
                <c:pt idx="8">
                  <c:v>0.84677762431399195</c:v>
                </c:pt>
                <c:pt idx="9">
                  <c:v>0.8496522162967971</c:v>
                </c:pt>
                <c:pt idx="10">
                  <c:v>0.8497713770997436</c:v>
                </c:pt>
                <c:pt idx="11">
                  <c:v>0.85336732022589079</c:v>
                </c:pt>
                <c:pt idx="12">
                  <c:v>0.85349942561556136</c:v>
                </c:pt>
                <c:pt idx="13">
                  <c:v>0.85781736128912001</c:v>
                </c:pt>
                <c:pt idx="14">
                  <c:v>0.85797362674490429</c:v>
                </c:pt>
                <c:pt idx="15">
                  <c:v>0.86301686688944113</c:v>
                </c:pt>
                <c:pt idx="16">
                  <c:v>0.86325345013965216</c:v>
                </c:pt>
                <c:pt idx="17">
                  <c:v>0.86903287219228498</c:v>
                </c:pt>
                <c:pt idx="18">
                  <c:v>0.86925935027228796</c:v>
                </c:pt>
                <c:pt idx="19">
                  <c:v>0.87577387498000425</c:v>
                </c:pt>
                <c:pt idx="20">
                  <c:v>0.87619392975102051</c:v>
                </c:pt>
                <c:pt idx="21">
                  <c:v>0.88346446310720972</c:v>
                </c:pt>
                <c:pt idx="22">
                  <c:v>0.88385149543329522</c:v>
                </c:pt>
                <c:pt idx="23">
                  <c:v>0.8918740963617956</c:v>
                </c:pt>
                <c:pt idx="24">
                  <c:v>0.89227024714715431</c:v>
                </c:pt>
                <c:pt idx="25">
                  <c:v>0.90104534689480142</c:v>
                </c:pt>
                <c:pt idx="26">
                  <c:v>0.90144552195950722</c:v>
                </c:pt>
                <c:pt idx="27">
                  <c:v>0.91097262744076613</c:v>
                </c:pt>
                <c:pt idx="28">
                  <c:v>0.91140570729569748</c:v>
                </c:pt>
                <c:pt idx="29">
                  <c:v>0.92168569034211723</c:v>
                </c:pt>
                <c:pt idx="30">
                  <c:v>0.9220414117228799</c:v>
                </c:pt>
                <c:pt idx="31">
                  <c:v>0.93306608351441045</c:v>
                </c:pt>
                <c:pt idx="32">
                  <c:v>0.93352528235184762</c:v>
                </c:pt>
                <c:pt idx="33">
                  <c:v>0.94529693457348496</c:v>
                </c:pt>
                <c:pt idx="34">
                  <c:v>0.94578610401294438</c:v>
                </c:pt>
                <c:pt idx="35">
                  <c:v>0.95829964321334693</c:v>
                </c:pt>
                <c:pt idx="36">
                  <c:v>0.95881859558582738</c:v>
                </c:pt>
                <c:pt idx="37">
                  <c:v>0.97206590674999449</c:v>
                </c:pt>
                <c:pt idx="38">
                  <c:v>0.97252036718758905</c:v>
                </c:pt>
                <c:pt idx="39">
                  <c:v>0.98648517648010392</c:v>
                </c:pt>
                <c:pt idx="40">
                  <c:v>0.98696335837911631</c:v>
                </c:pt>
                <c:pt idx="41">
                  <c:v>1.0016300860139835</c:v>
                </c:pt>
                <c:pt idx="42">
                  <c:v>1.0022349323818198</c:v>
                </c:pt>
                <c:pt idx="43">
                  <c:v>1.0175878170131476</c:v>
                </c:pt>
                <c:pt idx="44">
                  <c:v>1.0182197768562546</c:v>
                </c:pt>
                <c:pt idx="45">
                  <c:v>1.0342327599858503</c:v>
                </c:pt>
                <c:pt idx="46">
                  <c:v>1.0348907304235335</c:v>
                </c:pt>
                <c:pt idx="47">
                  <c:v>1.0515314683585781</c:v>
                </c:pt>
                <c:pt idx="48">
                  <c:v>1.0520971698499035</c:v>
                </c:pt>
                <c:pt idx="49">
                  <c:v>1.0693224447931688</c:v>
                </c:pt>
                <c:pt idx="50">
                  <c:v>1.0700275675765536</c:v>
                </c:pt>
                <c:pt idx="51">
                  <c:v>1.0877941268009255</c:v>
                </c:pt>
                <c:pt idx="52">
                  <c:v>1.0883958192405991</c:v>
                </c:pt>
                <c:pt idx="53">
                  <c:v>1.1066447965944641</c:v>
                </c:pt>
                <c:pt idx="54">
                  <c:v>1.1074525360911427</c:v>
                </c:pt>
                <c:pt idx="55">
                  <c:v>1.1261234513032323</c:v>
                </c:pt>
                <c:pt idx="56">
                  <c:v>1.126753134519735</c:v>
                </c:pt>
                <c:pt idx="57">
                  <c:v>1.1457672614382679</c:v>
                </c:pt>
                <c:pt idx="58">
                  <c:v>1.1465391023460934</c:v>
                </c:pt>
                <c:pt idx="59">
                  <c:v>1.1658133430431139</c:v>
                </c:pt>
                <c:pt idx="60">
                  <c:v>1.1665270094571463</c:v>
                </c:pt>
                <c:pt idx="61">
                  <c:v>1.1859644354439511</c:v>
                </c:pt>
                <c:pt idx="62">
                  <c:v>1.1866150955776651</c:v>
                </c:pt>
                <c:pt idx="63">
                  <c:v>1.2061087601572846</c:v>
                </c:pt>
                <c:pt idx="64">
                  <c:v>1.2069607317229547</c:v>
                </c:pt>
                <c:pt idx="65">
                  <c:v>1.2263923815768563</c:v>
                </c:pt>
                <c:pt idx="66">
                  <c:v>1.2270388766539113</c:v>
                </c:pt>
                <c:pt idx="67">
                  <c:v>1.2462809928477414</c:v>
                </c:pt>
                <c:pt idx="68">
                  <c:v>1.2470504670392919</c:v>
                </c:pt>
                <c:pt idx="69">
                  <c:v>1.2659630784313836</c:v>
                </c:pt>
                <c:pt idx="70">
                  <c:v>1.2666519772373654</c:v>
                </c:pt>
                <c:pt idx="71">
                  <c:v>1.2850891098495971</c:v>
                </c:pt>
                <c:pt idx="72">
                  <c:v>1.2858201296430585</c:v>
                </c:pt>
                <c:pt idx="73">
                  <c:v>1.3036253265182478</c:v>
                </c:pt>
                <c:pt idx="74">
                  <c:v>1.3043277169953298</c:v>
                </c:pt>
                <c:pt idx="75">
                  <c:v>1.3213406973870367</c:v>
                </c:pt>
                <c:pt idx="76">
                  <c:v>1.3218939115228767</c:v>
                </c:pt>
                <c:pt idx="77">
                  <c:v>1.3379584697725515</c:v>
                </c:pt>
                <c:pt idx="78">
                  <c:v>1.3384772776469351</c:v>
                </c:pt>
                <c:pt idx="79">
                  <c:v>1.353432540572078</c:v>
                </c:pt>
                <c:pt idx="80">
                  <c:v>1.3540596307961013</c:v>
                </c:pt>
                <c:pt idx="81">
                  <c:v>1.3677343796553827</c:v>
                </c:pt>
                <c:pt idx="82">
                  <c:v>1.3681681287332916</c:v>
                </c:pt>
                <c:pt idx="83">
                  <c:v>1.3804231298841068</c:v>
                </c:pt>
                <c:pt idx="84">
                  <c:v>1.380886058336888</c:v>
                </c:pt>
                <c:pt idx="85">
                  <c:v>1.3915692949000149</c:v>
                </c:pt>
                <c:pt idx="86">
                  <c:v>1.3919662020495889</c:v>
                </c:pt>
                <c:pt idx="87">
                  <c:v>1.4009485422586978</c:v>
                </c:pt>
                <c:pt idx="88">
                  <c:v>1.4012745541748064</c:v>
                </c:pt>
                <c:pt idx="89">
                  <c:v>1.4084440493958901</c:v>
                </c:pt>
                <c:pt idx="90">
                  <c:v>1.4086523322485032</c:v>
                </c:pt>
                <c:pt idx="91">
                  <c:v>1.4139303568709802</c:v>
                </c:pt>
                <c:pt idx="92">
                  <c:v>1.4140742223844747</c:v>
                </c:pt>
                <c:pt idx="93">
                  <c:v>1.4173930414547051</c:v>
                </c:pt>
                <c:pt idx="94">
                  <c:v>1.4174863511522617</c:v>
                </c:pt>
                <c:pt idx="95">
                  <c:v>1.4187893976688557</c:v>
                </c:pt>
                <c:pt idx="96">
                  <c:v>1.418800955358366</c:v>
                </c:pt>
                <c:pt idx="97">
                  <c:v>1.4180710163254373</c:v>
                </c:pt>
                <c:pt idx="98">
                  <c:v>1.418000677880136</c:v>
                </c:pt>
                <c:pt idx="99">
                  <c:v>1.4152473934294918</c:v>
                </c:pt>
                <c:pt idx="100">
                  <c:v>1.415122240956431</c:v>
                </c:pt>
                <c:pt idx="101">
                  <c:v>1.4103949002949536</c:v>
                </c:pt>
                <c:pt idx="102">
                  <c:v>1.4102046910295729</c:v>
                </c:pt>
                <c:pt idx="103">
                  <c:v>1.4035642387532896</c:v>
                </c:pt>
                <c:pt idx="104">
                  <c:v>1.4032327774157329</c:v>
                </c:pt>
                <c:pt idx="105">
                  <c:v>1.3947455526224526</c:v>
                </c:pt>
                <c:pt idx="106">
                  <c:v>1.3943679647783072</c:v>
                </c:pt>
                <c:pt idx="107">
                  <c:v>1.3841467507026648</c:v>
                </c:pt>
                <c:pt idx="108">
                  <c:v>1.3837779926120979</c:v>
                </c:pt>
                <c:pt idx="109">
                  <c:v>1.3719576888717961</c:v>
                </c:pt>
                <c:pt idx="110">
                  <c:v>1.3715377579994557</c:v>
                </c:pt>
                <c:pt idx="111">
                  <c:v>1.3582559411160449</c:v>
                </c:pt>
                <c:pt idx="112">
                  <c:v>1.357789622565531</c:v>
                </c:pt>
                <c:pt idx="113">
                  <c:v>1.3431949856413368</c:v>
                </c:pt>
                <c:pt idx="114">
                  <c:v>1.3425300981837973</c:v>
                </c:pt>
                <c:pt idx="115">
                  <c:v>1.3267679726699428</c:v>
                </c:pt>
                <c:pt idx="116">
                  <c:v>1.3261117688924235</c:v>
                </c:pt>
                <c:pt idx="117">
                  <c:v>1.309348729637885</c:v>
                </c:pt>
                <c:pt idx="118">
                  <c:v>1.3086554986782448</c:v>
                </c:pt>
                <c:pt idx="119">
                  <c:v>1.2910549492702996</c:v>
                </c:pt>
                <c:pt idx="120">
                  <c:v>1.2903312403203342</c:v>
                </c:pt>
                <c:pt idx="121">
                  <c:v>1.2720544774715705</c:v>
                </c:pt>
                <c:pt idx="122">
                  <c:v>1.271434696702334</c:v>
                </c:pt>
                <c:pt idx="123">
                  <c:v>1.2526414309982836</c:v>
                </c:pt>
                <c:pt idx="124">
                  <c:v>1.2520069148365132</c:v>
                </c:pt>
                <c:pt idx="125">
                  <c:v>1.2328452375132029</c:v>
                </c:pt>
                <c:pt idx="126">
                  <c:v>1.232200779714502</c:v>
                </c:pt>
                <c:pt idx="127">
                  <c:v>1.2128106091736568</c:v>
                </c:pt>
                <c:pt idx="128">
                  <c:v>1.2120937293429166</c:v>
                </c:pt>
                <c:pt idx="129">
                  <c:v>1.1926054046164758</c:v>
                </c:pt>
                <c:pt idx="130">
                  <c:v>1.1917528963607713</c:v>
                </c:pt>
                <c:pt idx="131">
                  <c:v>1.1722879610732837</c:v>
                </c:pt>
                <c:pt idx="132">
                  <c:v>1.1715058291890061</c:v>
                </c:pt>
                <c:pt idx="133">
                  <c:v>1.1521751770536082</c:v>
                </c:pt>
                <c:pt idx="134">
                  <c:v>1.1514005478355518</c:v>
                </c:pt>
                <c:pt idx="135">
                  <c:v>1.1323038442571056</c:v>
                </c:pt>
                <c:pt idx="136">
                  <c:v>1.1315405036380448</c:v>
                </c:pt>
                <c:pt idx="137">
                  <c:v>1.1127665193448555</c:v>
                </c:pt>
                <c:pt idx="138">
                  <c:v>1.1120178021750384</c:v>
                </c:pt>
                <c:pt idx="139">
                  <c:v>1.0936445431941799</c:v>
                </c:pt>
                <c:pt idx="140">
                  <c:v>1.092913435145741</c:v>
                </c:pt>
                <c:pt idx="141">
                  <c:v>1.0750087976430873</c:v>
                </c:pt>
                <c:pt idx="142">
                  <c:v>1.0743585423154161</c:v>
                </c:pt>
                <c:pt idx="143">
                  <c:v>1.0569790793473335</c:v>
                </c:pt>
                <c:pt idx="144">
                  <c:v>1.0564079839347864</c:v>
                </c:pt>
                <c:pt idx="145">
                  <c:v>1.0396008887049415</c:v>
                </c:pt>
                <c:pt idx="146">
                  <c:v>1.0389360272826931</c:v>
                </c:pt>
                <c:pt idx="147">
                  <c:v>1.0227465262425777</c:v>
                </c:pt>
                <c:pt idx="148">
                  <c:v>1.0221072743845376</c:v>
                </c:pt>
                <c:pt idx="149">
                  <c:v>1.0065696117467924</c:v>
                </c:pt>
                <c:pt idx="150">
                  <c:v>1.0059572070947707</c:v>
                </c:pt>
                <c:pt idx="151">
                  <c:v>0.99109910602881368</c:v>
                </c:pt>
                <c:pt idx="152">
                  <c:v>0.99056448378987483</c:v>
                </c:pt>
                <c:pt idx="153">
                  <c:v>0.9764055662908091</c:v>
                </c:pt>
                <c:pt idx="154">
                  <c:v>0.97584956055263761</c:v>
                </c:pt>
                <c:pt idx="155">
                  <c:v>0.96240910863292028</c:v>
                </c:pt>
                <c:pt idx="156">
                  <c:v>0.96192733069563963</c:v>
                </c:pt>
                <c:pt idx="157">
                  <c:v>0.94921552433666667</c:v>
                </c:pt>
                <c:pt idx="158">
                  <c:v>0.94880324843897001</c:v>
                </c:pt>
                <c:pt idx="159">
                  <c:v>0.93682655948658411</c:v>
                </c:pt>
                <c:pt idx="160">
                  <c:v>0.93635910294003566</c:v>
                </c:pt>
                <c:pt idx="161">
                  <c:v>0.92512819746050101</c:v>
                </c:pt>
                <c:pt idx="162">
                  <c:v>0.92476558380169016</c:v>
                </c:pt>
                <c:pt idx="163">
                  <c:v>0.91427887224159488</c:v>
                </c:pt>
                <c:pt idx="164">
                  <c:v>0.91387152435685848</c:v>
                </c:pt>
                <c:pt idx="165">
                  <c:v>0.90413514842735787</c:v>
                </c:pt>
                <c:pt idx="166">
                  <c:v>0.90382246102697161</c:v>
                </c:pt>
                <c:pt idx="167">
                  <c:v>0.89483105784023875</c:v>
                </c:pt>
                <c:pt idx="168">
                  <c:v>0.89454322959467414</c:v>
                </c:pt>
                <c:pt idx="169">
                  <c:v>0.8862950883916153</c:v>
                </c:pt>
                <c:pt idx="170">
                  <c:v>0.88603204166327432</c:v>
                </c:pt>
                <c:pt idx="171">
                  <c:v>0.8785246331740475</c:v>
                </c:pt>
                <c:pt idx="172">
                  <c:v>0.87823713678856841</c:v>
                </c:pt>
                <c:pt idx="173">
                  <c:v>0.87147212818954733</c:v>
                </c:pt>
                <c:pt idx="174">
                  <c:v>0.87121453307028451</c:v>
                </c:pt>
                <c:pt idx="175">
                  <c:v>0.86518831579881728</c:v>
                </c:pt>
                <c:pt idx="176">
                  <c:v>0.8649992646741792</c:v>
                </c:pt>
                <c:pt idx="177">
                  <c:v>0.85970322460368387</c:v>
                </c:pt>
                <c:pt idx="178">
                  <c:v>0.85950462267782979</c:v>
                </c:pt>
                <c:pt idx="179">
                  <c:v>0.85494000487173094</c:v>
                </c:pt>
                <c:pt idx="180">
                  <c:v>0.85477080683562567</c:v>
                </c:pt>
                <c:pt idx="181">
                  <c:v>0.85093401656487744</c:v>
                </c:pt>
                <c:pt idx="182">
                  <c:v>0.85081792850291704</c:v>
                </c:pt>
                <c:pt idx="183">
                  <c:v>0.84770107678124818</c:v>
                </c:pt>
                <c:pt idx="184">
                  <c:v>0.84759004734852039</c:v>
                </c:pt>
                <c:pt idx="185">
                  <c:v>0.84519525555182251</c:v>
                </c:pt>
                <c:pt idx="186">
                  <c:v>0.84511329795367263</c:v>
                </c:pt>
                <c:pt idx="187">
                  <c:v>0.84343838200655952</c:v>
                </c:pt>
                <c:pt idx="188">
                  <c:v>0.84338534636926954</c:v>
                </c:pt>
                <c:pt idx="189">
                  <c:v>0.84242875017197383</c:v>
                </c:pt>
                <c:pt idx="190">
                  <c:v>0.84240670169097431</c:v>
                </c:pt>
                <c:pt idx="191">
                  <c:v>0.84216515857334062</c:v>
                </c:pt>
                <c:pt idx="192">
                  <c:v>0.84216985169430314</c:v>
                </c:pt>
                <c:pt idx="193">
                  <c:v>0.84264548778411363</c:v>
                </c:pt>
                <c:pt idx="194">
                  <c:v>0.84267908450207163</c:v>
                </c:pt>
                <c:pt idx="195">
                  <c:v>0.84387237491536238</c:v>
                </c:pt>
                <c:pt idx="196">
                  <c:v>0.8439295239069361</c:v>
                </c:pt>
                <c:pt idx="197">
                  <c:v>0.84583919804867225</c:v>
                </c:pt>
                <c:pt idx="198">
                  <c:v>0.84593060047422042</c:v>
                </c:pt>
                <c:pt idx="199">
                  <c:v>0.84856077774115912</c:v>
                </c:pt>
                <c:pt idx="200">
                  <c:v>0.84867094758964901</c:v>
                </c:pt>
                <c:pt idx="201">
                  <c:v>0.85202162015557692</c:v>
                </c:pt>
                <c:pt idx="202">
                  <c:v>0.85215833776168848</c:v>
                </c:pt>
                <c:pt idx="203">
                  <c:v>0.85623231447877635</c:v>
                </c:pt>
                <c:pt idx="204">
                  <c:v>0.8563804036208077</c:v>
                </c:pt>
                <c:pt idx="205">
                  <c:v>0.86117850983198385</c:v>
                </c:pt>
                <c:pt idx="206">
                  <c:v>0.86136873464291075</c:v>
                </c:pt>
                <c:pt idx="207">
                  <c:v>0.86689692391994055</c:v>
                </c:pt>
                <c:pt idx="208">
                  <c:v>0.86709374306360465</c:v>
                </c:pt>
                <c:pt idx="209">
                  <c:v>0.87335330776196518</c:v>
                </c:pt>
                <c:pt idx="210">
                  <c:v>0.87362038810211384</c:v>
                </c:pt>
                <c:pt idx="211">
                  <c:v>0.88061992331291394</c:v>
                </c:pt>
                <c:pt idx="212">
                  <c:v>0.88089139205547196</c:v>
                </c:pt>
                <c:pt idx="213">
                  <c:v>0.88863198183331538</c:v>
                </c:pt>
                <c:pt idx="214">
                  <c:v>0.88895881729501802</c:v>
                </c:pt>
                <c:pt idx="215">
                  <c:v>0.897445959902057</c:v>
                </c:pt>
                <c:pt idx="216">
                  <c:v>0.89780291360364761</c:v>
                </c:pt>
                <c:pt idx="217">
                  <c:v>0.90703898215082435</c:v>
                </c:pt>
                <c:pt idx="218">
                  <c:v>0.90739296964782057</c:v>
                </c:pt>
                <c:pt idx="219">
                  <c:v>0.91737669813114908</c:v>
                </c:pt>
                <c:pt idx="220">
                  <c:v>0.91775826007539851</c:v>
                </c:pt>
                <c:pt idx="221">
                  <c:v>0.92848969225888578</c:v>
                </c:pt>
                <c:pt idx="222">
                  <c:v>0.92889878096063094</c:v>
                </c:pt>
                <c:pt idx="223">
                  <c:v>0.94037600365811236</c:v>
                </c:pt>
                <c:pt idx="224">
                  <c:v>0.94081251778191521</c:v>
                </c:pt>
                <c:pt idx="225">
                  <c:v>0.95303149918859609</c:v>
                </c:pt>
                <c:pt idx="226">
                  <c:v>0.95349522990439339</c:v>
                </c:pt>
                <c:pt idx="227">
                  <c:v>0.96644918987982953</c:v>
                </c:pt>
                <c:pt idx="228">
                  <c:v>0.96689391235021671</c:v>
                </c:pt>
                <c:pt idx="229">
                  <c:v>0.98057042306826869</c:v>
                </c:pt>
                <c:pt idx="230">
                  <c:v>0.9811358613474308</c:v>
                </c:pt>
                <c:pt idx="231">
                  <c:v>0.99552580357614717</c:v>
                </c:pt>
                <c:pt idx="232">
                  <c:v>0.99611962221768346</c:v>
                </c:pt>
                <c:pt idx="233">
                  <c:v>1.0112044590379266</c:v>
                </c:pt>
                <c:pt idx="234">
                  <c:v>1.0117726603770538</c:v>
                </c:pt>
                <c:pt idx="235">
                  <c:v>1.0275263911037189</c:v>
                </c:pt>
                <c:pt idx="236">
                  <c:v>1.0281187346903395</c:v>
                </c:pt>
                <c:pt idx="237">
                  <c:v>1.0445118363345447</c:v>
                </c:pt>
                <c:pt idx="238">
                  <c:v>1.0451270911770867</c:v>
                </c:pt>
                <c:pt idx="239">
                  <c:v>1.0621232345726843</c:v>
                </c:pt>
                <c:pt idx="240">
                  <c:v>1.0628195538546343</c:v>
                </c:pt>
                <c:pt idx="241">
                  <c:v>1.0803768035598422</c:v>
                </c:pt>
                <c:pt idx="242">
                  <c:v>1.0810947007481817</c:v>
                </c:pt>
                <c:pt idx="243">
                  <c:v>1.0991607505518806</c:v>
                </c:pt>
                <c:pt idx="244">
                  <c:v>1.0998349132308642</c:v>
                </c:pt>
                <c:pt idx="245">
                  <c:v>1.118346880477906</c:v>
                </c:pt>
                <c:pt idx="246">
                  <c:v>1.1190362124163942</c:v>
                </c:pt>
                <c:pt idx="247">
                  <c:v>1.1379235237917413</c:v>
                </c:pt>
                <c:pt idx="248">
                  <c:v>1.138559620701858</c:v>
                </c:pt>
                <c:pt idx="249">
                  <c:v>1.1577404525445887</c:v>
                </c:pt>
                <c:pt idx="250">
                  <c:v>1.1585178766832798</c:v>
                </c:pt>
                <c:pt idx="251">
                  <c:v>1.1779023436298235</c:v>
                </c:pt>
                <c:pt idx="252">
                  <c:v>1.1785519533047857</c:v>
                </c:pt>
                <c:pt idx="253">
                  <c:v>1.1980365133750026</c:v>
                </c:pt>
                <c:pt idx="254">
                  <c:v>1.1987548072995076</c:v>
                </c:pt>
                <c:pt idx="255">
                  <c:v>1.2182265514469108</c:v>
                </c:pt>
                <c:pt idx="256">
                  <c:v>1.218875228080311</c:v>
                </c:pt>
                <c:pt idx="257">
                  <c:v>1.238210598168626</c:v>
                </c:pt>
                <c:pt idx="258">
                  <c:v>1.2388525569491078</c:v>
                </c:pt>
                <c:pt idx="259">
                  <c:v>1.2579181575481826</c:v>
                </c:pt>
                <c:pt idx="260">
                  <c:v>1.2586788063813277</c:v>
                </c:pt>
                <c:pt idx="261">
                  <c:v>1.2773288508607523</c:v>
                </c:pt>
                <c:pt idx="262">
                  <c:v>1.2780697211660144</c:v>
                </c:pt>
                <c:pt idx="263">
                  <c:v>1.2961518859602539</c:v>
                </c:pt>
                <c:pt idx="264">
                  <c:v>1.2968056480502048</c:v>
                </c:pt>
                <c:pt idx="265">
                  <c:v>1.3141641497376291</c:v>
                </c:pt>
                <c:pt idx="266">
                  <c:v>1.3147883099139139</c:v>
                </c:pt>
                <c:pt idx="267">
                  <c:v>1.3312619611907124</c:v>
                </c:pt>
                <c:pt idx="268">
                  <c:v>1.3319054998765945</c:v>
                </c:pt>
                <c:pt idx="269">
                  <c:v>1.3473282148057801</c:v>
                </c:pt>
                <c:pt idx="270">
                  <c:v>1.3479261545645425</c:v>
                </c:pt>
                <c:pt idx="271">
                  <c:v>1.362136386414601</c:v>
                </c:pt>
                <c:pt idx="272">
                  <c:v>1.3626822857906467</c:v>
                </c:pt>
                <c:pt idx="273">
                  <c:v>1.3755237937220193</c:v>
                </c:pt>
                <c:pt idx="274">
                  <c:v>1.3759698691677342</c:v>
                </c:pt>
                <c:pt idx="275">
                  <c:v>1.3873003810450626</c:v>
                </c:pt>
                <c:pt idx="276">
                  <c:v>1.3877244304399243</c:v>
                </c:pt>
                <c:pt idx="277">
                  <c:v>1.3974039808452892</c:v>
                </c:pt>
                <c:pt idx="278">
                  <c:v>1.3977589931833392</c:v>
                </c:pt>
                <c:pt idx="279">
                  <c:v>1.4056683817849027</c:v>
                </c:pt>
                <c:pt idx="280">
                  <c:v>1.4059499002295817</c:v>
                </c:pt>
                <c:pt idx="281">
                  <c:v>1.4119890140524107</c:v>
                </c:pt>
                <c:pt idx="282">
                  <c:v>1.4121761448808847</c:v>
                </c:pt>
                <c:pt idx="283">
                  <c:v>1.41627356676237</c:v>
                </c:pt>
                <c:pt idx="284">
                  <c:v>1.416387996498544</c:v>
                </c:pt>
                <c:pt idx="285">
                  <c:v>1.4184903987398481</c:v>
                </c:pt>
                <c:pt idx="286">
                  <c:v>1.4185306670166669</c:v>
                </c:pt>
                <c:pt idx="287">
                  <c:v>1.4186103705715549</c:v>
                </c:pt>
                <c:pt idx="288">
                  <c:v>1.4185759586571496</c:v>
                </c:pt>
                <c:pt idx="289">
                  <c:v>1.4166319146632469</c:v>
                </c:pt>
                <c:pt idx="290">
                  <c:v>1.4165129430863148</c:v>
                </c:pt>
                <c:pt idx="291">
                  <c:v>1.4125641809001224</c:v>
                </c:pt>
                <c:pt idx="292">
                  <c:v>1.4123824781719438</c:v>
                </c:pt>
                <c:pt idx="293">
                  <c:v>1.4064871141501092</c:v>
                </c:pt>
                <c:pt idx="294">
                  <c:v>1.4062349545473944</c:v>
                </c:pt>
                <c:pt idx="295">
                  <c:v>1.3984687951244927</c:v>
                </c:pt>
                <c:pt idx="296">
                  <c:v>1.3981493549957547</c:v>
                </c:pt>
                <c:pt idx="297">
                  <c:v>1.3886101185039559</c:v>
                </c:pt>
                <c:pt idx="298">
                  <c:v>1.3882274389819438</c:v>
                </c:pt>
                <c:pt idx="299">
                  <c:v>1.3770321497845766</c:v>
                </c:pt>
                <c:pt idx="300">
                  <c:v>1.3765494721020504</c:v>
                </c:pt>
                <c:pt idx="301">
                  <c:v>1.3638263677025209</c:v>
                </c:pt>
                <c:pt idx="302">
                  <c:v>1.3633777441557651</c:v>
                </c:pt>
                <c:pt idx="303">
                  <c:v>1.3492821356081697</c:v>
                </c:pt>
                <c:pt idx="304">
                  <c:v>1.3486885507625266</c:v>
                </c:pt>
                <c:pt idx="305">
                  <c:v>1.3333664043283937</c:v>
                </c:pt>
                <c:pt idx="306">
                  <c:v>1.3327814083611371</c:v>
                </c:pt>
                <c:pt idx="307">
                  <c:v>1.3163972476111294</c:v>
                </c:pt>
                <c:pt idx="308">
                  <c:v>1.3157760951142077</c:v>
                </c:pt>
                <c:pt idx="309">
                  <c:v>1.298492146408263</c:v>
                </c:pt>
                <c:pt idx="310">
                  <c:v>1.2979018163099842</c:v>
                </c:pt>
                <c:pt idx="311">
                  <c:v>1.2798817020557858</c:v>
                </c:pt>
                <c:pt idx="312">
                  <c:v>1.2791430008847677</c:v>
                </c:pt>
                <c:pt idx="313">
                  <c:v>1.2605402139733404</c:v>
                </c:pt>
                <c:pt idx="314">
                  <c:v>1.2598460873462203</c:v>
                </c:pt>
                <c:pt idx="315">
                  <c:v>1.2408148080648103</c:v>
                </c:pt>
                <c:pt idx="316">
                  <c:v>1.2401075904328689</c:v>
                </c:pt>
                <c:pt idx="317">
                  <c:v>1.2207920892880222</c:v>
                </c:pt>
                <c:pt idx="318">
                  <c:v>1.2200769690556843</c:v>
                </c:pt>
                <c:pt idx="319">
                  <c:v>1.2006124688721727</c:v>
                </c:pt>
                <c:pt idx="320">
                  <c:v>1.1998271021683136</c:v>
                </c:pt>
                <c:pt idx="321">
                  <c:v>1.1803389161674176</c:v>
                </c:pt>
                <c:pt idx="322">
                  <c:v>1.1795549787865454</c:v>
                </c:pt>
                <c:pt idx="323">
                  <c:v>1.1601583058727898</c:v>
                </c:pt>
                <c:pt idx="324">
                  <c:v>1.1593802101656832</c:v>
                </c:pt>
                <c:pt idx="325">
                  <c:v>1.1401791341048033</c:v>
                </c:pt>
                <c:pt idx="326">
                  <c:v>1.1394108676995152</c:v>
                </c:pt>
                <c:pt idx="327">
                  <c:v>1.1204985014565036</c:v>
                </c:pt>
                <c:pt idx="328">
                  <c:v>1.1198080967085606</c:v>
                </c:pt>
                <c:pt idx="329">
                  <c:v>1.1012652854900997</c:v>
                </c:pt>
                <c:pt idx="330">
                  <c:v>1.1005898906884262</c:v>
                </c:pt>
                <c:pt idx="331">
                  <c:v>1.082488073554756</c:v>
                </c:pt>
                <c:pt idx="332">
                  <c:v>1.0818301117646625</c:v>
                </c:pt>
                <c:pt idx="333">
                  <c:v>1.0642309807305803</c:v>
                </c:pt>
                <c:pt idx="334">
                  <c:v>1.0635925808619859</c:v>
                </c:pt>
                <c:pt idx="335">
                  <c:v>1.0465488214615406</c:v>
                </c:pt>
                <c:pt idx="336">
                  <c:v>1.0458741099661042</c:v>
                </c:pt>
                <c:pt idx="337">
                  <c:v>1.0294321810144238</c:v>
                </c:pt>
                <c:pt idx="338">
                  <c:v>1.0288380037843416</c:v>
                </c:pt>
                <c:pt idx="339">
                  <c:v>1.0130328543896177</c:v>
                </c:pt>
                <c:pt idx="340">
                  <c:v>1.0124627175800145</c:v>
                </c:pt>
                <c:pt idx="341">
                  <c:v>0.99732437752893899</c:v>
                </c:pt>
                <c:pt idx="342">
                  <c:v>0.99677929415776678</c:v>
                </c:pt>
                <c:pt idx="343">
                  <c:v>0.98233181203738951</c:v>
                </c:pt>
                <c:pt idx="344">
                  <c:v>0.98181255525669453</c:v>
                </c:pt>
                <c:pt idx="345">
                  <c:v>0.96807483004584727</c:v>
                </c:pt>
                <c:pt idx="346">
                  <c:v>0.96758200093590419</c:v>
                </c:pt>
                <c:pt idx="347">
                  <c:v>0.9545682236114863</c:v>
                </c:pt>
                <c:pt idx="348">
                  <c:v>0.95405873581478406</c:v>
                </c:pt>
                <c:pt idx="349">
                  <c:v>0.94178170429533781</c:v>
                </c:pt>
                <c:pt idx="350">
                  <c:v>0.94130204796344863</c:v>
                </c:pt>
                <c:pt idx="351">
                  <c:v>0.92976884015874772</c:v>
                </c:pt>
                <c:pt idx="352">
                  <c:v>0.92931926593154246</c:v>
                </c:pt>
                <c:pt idx="353">
                  <c:v>0.91853411952806907</c:v>
                </c:pt>
                <c:pt idx="354">
                  <c:v>0.91811471712263548</c:v>
                </c:pt>
                <c:pt idx="355">
                  <c:v>0.90807964881825964</c:v>
                </c:pt>
                <c:pt idx="356">
                  <c:v>0.90772375201865907</c:v>
                </c:pt>
                <c:pt idx="357">
                  <c:v>0.89843644754482743</c:v>
                </c:pt>
                <c:pt idx="358">
                  <c:v>0.89810804225128149</c:v>
                </c:pt>
                <c:pt idx="359">
                  <c:v>0.88956728674058516</c:v>
                </c:pt>
                <c:pt idx="360">
                  <c:v>0.88926636881713228</c:v>
                </c:pt>
                <c:pt idx="361">
                  <c:v>0.88146988740527021</c:v>
                </c:pt>
                <c:pt idx="362">
                  <c:v>0.88119631645457985</c:v>
                </c:pt>
                <c:pt idx="363">
                  <c:v>0.87414110802035416</c:v>
                </c:pt>
                <c:pt idx="364">
                  <c:v>0.87387183647084843</c:v>
                </c:pt>
                <c:pt idx="365">
                  <c:v>0.86755685372038749</c:v>
                </c:pt>
                <c:pt idx="366">
                  <c:v>0.86731730972817489</c:v>
                </c:pt>
                <c:pt idx="367">
                  <c:v>0.86173884172115811</c:v>
                </c:pt>
                <c:pt idx="368">
                  <c:v>0.86152893071828551</c:v>
                </c:pt>
                <c:pt idx="369">
                  <c:v>0.85668325705932824</c:v>
                </c:pt>
                <c:pt idx="370">
                  <c:v>0.85651812350603418</c:v>
                </c:pt>
                <c:pt idx="371">
                  <c:v>0.85239922424922954</c:v>
                </c:pt>
                <c:pt idx="372">
                  <c:v>0.8522607996961663</c:v>
                </c:pt>
                <c:pt idx="373">
                  <c:v>0.84886544010589349</c:v>
                </c:pt>
                <c:pt idx="374">
                  <c:v>0.84875364734539716</c:v>
                </c:pt>
                <c:pt idx="375">
                  <c:v>0.84607882623325192</c:v>
                </c:pt>
                <c:pt idx="376">
                  <c:v>0.84599356842723417</c:v>
                </c:pt>
                <c:pt idx="377">
                  <c:v>0.84403702298723127</c:v>
                </c:pt>
                <c:pt idx="378">
                  <c:v>0.84397815801851539</c:v>
                </c:pt>
                <c:pt idx="379">
                  <c:v>0.84273810608063393</c:v>
                </c:pt>
                <c:pt idx="380">
                  <c:v>0.84270561837496638</c:v>
                </c:pt>
                <c:pt idx="381">
                  <c:v>0.84218089888142167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E454-49FE-809F-D5B4A31FCE39}"/>
            </c:ext>
          </c:extLst>
        </c:ser>
        <c:ser>
          <c:idx val="4"/>
          <c:order val="3"/>
          <c:tx>
            <c:strRef>
              <c:f>pat_result!$C$1</c:f>
              <c:strCache>
                <c:ptCount val="1"/>
                <c:pt idx="0">
                  <c:v>F=17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pat_result!$B$2:$B$401</c:f>
              <c:numCache>
                <c:formatCode>General</c:formatCode>
                <c:ptCount val="400"/>
                <c:pt idx="0">
                  <c:v>6.2630000000000003E-3</c:v>
                </c:pt>
                <c:pt idx="1">
                  <c:v>6.2630000000000003E-3</c:v>
                </c:pt>
                <c:pt idx="2">
                  <c:v>1.8851629999999999</c:v>
                </c:pt>
                <c:pt idx="3">
                  <c:v>1.8851629999999999</c:v>
                </c:pt>
                <c:pt idx="4">
                  <c:v>3.7891150000000402</c:v>
                </c:pt>
                <c:pt idx="5">
                  <c:v>3.7891150000000402</c:v>
                </c:pt>
                <c:pt idx="6">
                  <c:v>5.6680149999999898</c:v>
                </c:pt>
                <c:pt idx="7">
                  <c:v>5.6680149999999898</c:v>
                </c:pt>
                <c:pt idx="8">
                  <c:v>7.5657039999999798</c:v>
                </c:pt>
                <c:pt idx="9">
                  <c:v>7.5657039999999798</c:v>
                </c:pt>
                <c:pt idx="10">
                  <c:v>9.4508670000001302</c:v>
                </c:pt>
                <c:pt idx="11">
                  <c:v>9.4508670000001302</c:v>
                </c:pt>
                <c:pt idx="12">
                  <c:v>11.329767000000301</c:v>
                </c:pt>
                <c:pt idx="13">
                  <c:v>11.329767000000301</c:v>
                </c:pt>
                <c:pt idx="14">
                  <c:v>13.208667000000499</c:v>
                </c:pt>
                <c:pt idx="15">
                  <c:v>13.208667000000499</c:v>
                </c:pt>
                <c:pt idx="16">
                  <c:v>15.1063560000007</c:v>
                </c:pt>
                <c:pt idx="17">
                  <c:v>15.1063560000007</c:v>
                </c:pt>
                <c:pt idx="18">
                  <c:v>16.9915190000008</c:v>
                </c:pt>
                <c:pt idx="19">
                  <c:v>16.9915190000008</c:v>
                </c:pt>
                <c:pt idx="20">
                  <c:v>18.920523000001001</c:v>
                </c:pt>
                <c:pt idx="21">
                  <c:v>18.920523000001001</c:v>
                </c:pt>
                <c:pt idx="22">
                  <c:v>20.830738000001201</c:v>
                </c:pt>
                <c:pt idx="23">
                  <c:v>20.830738000001201</c:v>
                </c:pt>
                <c:pt idx="24">
                  <c:v>22.7346900000014</c:v>
                </c:pt>
                <c:pt idx="25">
                  <c:v>22.7346900000014</c:v>
                </c:pt>
                <c:pt idx="26">
                  <c:v>24.632379000001698</c:v>
                </c:pt>
                <c:pt idx="27">
                  <c:v>24.632379000001698</c:v>
                </c:pt>
                <c:pt idx="28">
                  <c:v>26.530068000001901</c:v>
                </c:pt>
                <c:pt idx="29">
                  <c:v>26.530068000001901</c:v>
                </c:pt>
                <c:pt idx="30">
                  <c:v>28.408968000002201</c:v>
                </c:pt>
                <c:pt idx="31">
                  <c:v>28.408968000002201</c:v>
                </c:pt>
                <c:pt idx="32">
                  <c:v>30.3003940000022</c:v>
                </c:pt>
                <c:pt idx="33">
                  <c:v>30.3003940000022</c:v>
                </c:pt>
                <c:pt idx="34">
                  <c:v>32.191820000002203</c:v>
                </c:pt>
                <c:pt idx="35">
                  <c:v>32.191820000002203</c:v>
                </c:pt>
                <c:pt idx="36">
                  <c:v>34.083246000001303</c:v>
                </c:pt>
                <c:pt idx="37">
                  <c:v>34.083246000001303</c:v>
                </c:pt>
                <c:pt idx="38">
                  <c:v>35.962146000000502</c:v>
                </c:pt>
                <c:pt idx="39">
                  <c:v>35.962146000000502</c:v>
                </c:pt>
                <c:pt idx="40">
                  <c:v>37.8410459999997</c:v>
                </c:pt>
                <c:pt idx="41">
                  <c:v>37.8410459999997</c:v>
                </c:pt>
                <c:pt idx="42">
                  <c:v>39.7324719999989</c:v>
                </c:pt>
                <c:pt idx="43">
                  <c:v>39.7324719999989</c:v>
                </c:pt>
                <c:pt idx="44">
                  <c:v>41.623897999998</c:v>
                </c:pt>
                <c:pt idx="45">
                  <c:v>41.623897999998</c:v>
                </c:pt>
                <c:pt idx="46">
                  <c:v>43.5153239999972</c:v>
                </c:pt>
                <c:pt idx="47">
                  <c:v>43.5153239999972</c:v>
                </c:pt>
                <c:pt idx="48">
                  <c:v>45.394223999996399</c:v>
                </c:pt>
                <c:pt idx="49">
                  <c:v>45.394223999996399</c:v>
                </c:pt>
                <c:pt idx="50">
                  <c:v>47.285649999995499</c:v>
                </c:pt>
                <c:pt idx="51">
                  <c:v>47.285649999995499</c:v>
                </c:pt>
                <c:pt idx="52">
                  <c:v>49.164549999994698</c:v>
                </c:pt>
                <c:pt idx="53">
                  <c:v>49.164549999994698</c:v>
                </c:pt>
                <c:pt idx="54">
                  <c:v>51.062238999993902</c:v>
                </c:pt>
                <c:pt idx="55">
                  <c:v>51.062238999993902</c:v>
                </c:pt>
                <c:pt idx="56">
                  <c:v>52.9411389999931</c:v>
                </c:pt>
                <c:pt idx="57">
                  <c:v>52.9411389999931</c:v>
                </c:pt>
                <c:pt idx="58">
                  <c:v>54.832564999992201</c:v>
                </c:pt>
                <c:pt idx="59">
                  <c:v>54.832564999992201</c:v>
                </c:pt>
                <c:pt idx="60">
                  <c:v>56.717727999991403</c:v>
                </c:pt>
                <c:pt idx="61">
                  <c:v>56.717727999991403</c:v>
                </c:pt>
                <c:pt idx="62">
                  <c:v>58.596627999990403</c:v>
                </c:pt>
                <c:pt idx="63">
                  <c:v>58.596627999990403</c:v>
                </c:pt>
                <c:pt idx="64">
                  <c:v>60.494316999989202</c:v>
                </c:pt>
                <c:pt idx="65">
                  <c:v>60.494316999989202</c:v>
                </c:pt>
                <c:pt idx="66">
                  <c:v>62.373216999988102</c:v>
                </c:pt>
                <c:pt idx="67">
                  <c:v>62.373216999988102</c:v>
                </c:pt>
                <c:pt idx="68">
                  <c:v>64.264642999987402</c:v>
                </c:pt>
                <c:pt idx="69">
                  <c:v>64.264642999987402</c:v>
                </c:pt>
                <c:pt idx="70">
                  <c:v>66.149805999988899</c:v>
                </c:pt>
                <c:pt idx="71">
                  <c:v>66.149805999988899</c:v>
                </c:pt>
                <c:pt idx="72">
                  <c:v>68.041231999990302</c:v>
                </c:pt>
                <c:pt idx="73">
                  <c:v>68.041231999990302</c:v>
                </c:pt>
                <c:pt idx="74">
                  <c:v>69.932657999992003</c:v>
                </c:pt>
                <c:pt idx="75">
                  <c:v>69.932657999992003</c:v>
                </c:pt>
                <c:pt idx="76">
                  <c:v>71.811557999993795</c:v>
                </c:pt>
                <c:pt idx="77">
                  <c:v>71.811557999993795</c:v>
                </c:pt>
                <c:pt idx="78">
                  <c:v>73.690457999995601</c:v>
                </c:pt>
                <c:pt idx="79">
                  <c:v>73.690457999995601</c:v>
                </c:pt>
                <c:pt idx="80">
                  <c:v>75.588146999997505</c:v>
                </c:pt>
                <c:pt idx="81">
                  <c:v>75.588146999997505</c:v>
                </c:pt>
                <c:pt idx="82">
                  <c:v>77.467046999999297</c:v>
                </c:pt>
                <c:pt idx="83">
                  <c:v>77.467046999999297</c:v>
                </c:pt>
                <c:pt idx="84">
                  <c:v>79.358473000001098</c:v>
                </c:pt>
                <c:pt idx="85">
                  <c:v>79.358473000001098</c:v>
                </c:pt>
                <c:pt idx="86">
                  <c:v>81.249899000002998</c:v>
                </c:pt>
                <c:pt idx="87">
                  <c:v>81.249899000002998</c:v>
                </c:pt>
                <c:pt idx="88">
                  <c:v>83.141325000004798</c:v>
                </c:pt>
                <c:pt idx="89">
                  <c:v>83.141325000004798</c:v>
                </c:pt>
                <c:pt idx="90">
                  <c:v>85.020225000006704</c:v>
                </c:pt>
                <c:pt idx="91">
                  <c:v>85.020225000006704</c:v>
                </c:pt>
                <c:pt idx="92">
                  <c:v>86.899125000008496</c:v>
                </c:pt>
                <c:pt idx="93">
                  <c:v>86.899125000008496</c:v>
                </c:pt>
                <c:pt idx="94">
                  <c:v>88.790551000010296</c:v>
                </c:pt>
                <c:pt idx="95">
                  <c:v>88.790551000010296</c:v>
                </c:pt>
                <c:pt idx="96">
                  <c:v>90.681977000012196</c:v>
                </c:pt>
                <c:pt idx="97">
                  <c:v>90.681977000012196</c:v>
                </c:pt>
                <c:pt idx="98">
                  <c:v>92.573403000014096</c:v>
                </c:pt>
                <c:pt idx="99">
                  <c:v>92.573403000014096</c:v>
                </c:pt>
                <c:pt idx="100">
                  <c:v>94.452303000016002</c:v>
                </c:pt>
                <c:pt idx="101">
                  <c:v>94.452303000016002</c:v>
                </c:pt>
                <c:pt idx="102">
                  <c:v>96.331203000017993</c:v>
                </c:pt>
                <c:pt idx="103">
                  <c:v>96.331203000017993</c:v>
                </c:pt>
                <c:pt idx="104">
                  <c:v>98.228892000019997</c:v>
                </c:pt>
                <c:pt idx="105">
                  <c:v>98.228892000019997</c:v>
                </c:pt>
                <c:pt idx="106">
                  <c:v>100.120318000022</c:v>
                </c:pt>
                <c:pt idx="107">
                  <c:v>100.120318000022</c:v>
                </c:pt>
                <c:pt idx="108">
                  <c:v>101.999218000024</c:v>
                </c:pt>
                <c:pt idx="109">
                  <c:v>101.999218000024</c:v>
                </c:pt>
                <c:pt idx="110">
                  <c:v>103.87811800002601</c:v>
                </c:pt>
                <c:pt idx="111">
                  <c:v>103.87811800002601</c:v>
                </c:pt>
                <c:pt idx="112">
                  <c:v>105.757018000028</c:v>
                </c:pt>
                <c:pt idx="113">
                  <c:v>105.757018000028</c:v>
                </c:pt>
                <c:pt idx="114">
                  <c:v>107.65470700003</c:v>
                </c:pt>
                <c:pt idx="115">
                  <c:v>107.65470700003</c:v>
                </c:pt>
                <c:pt idx="116">
                  <c:v>109.546133000032</c:v>
                </c:pt>
                <c:pt idx="117">
                  <c:v>109.546133000032</c:v>
                </c:pt>
                <c:pt idx="118">
                  <c:v>111.437559000034</c:v>
                </c:pt>
                <c:pt idx="119">
                  <c:v>111.437559000034</c:v>
                </c:pt>
                <c:pt idx="120">
                  <c:v>113.328985000036</c:v>
                </c:pt>
                <c:pt idx="121">
                  <c:v>113.328985000036</c:v>
                </c:pt>
                <c:pt idx="122">
                  <c:v>115.207885000038</c:v>
                </c:pt>
                <c:pt idx="123">
                  <c:v>115.207885000038</c:v>
                </c:pt>
                <c:pt idx="124">
                  <c:v>117.086785000039</c:v>
                </c:pt>
                <c:pt idx="125">
                  <c:v>117.086785000039</c:v>
                </c:pt>
                <c:pt idx="126">
                  <c:v>118.96568500004101</c:v>
                </c:pt>
                <c:pt idx="127">
                  <c:v>118.96568500004101</c:v>
                </c:pt>
                <c:pt idx="128">
                  <c:v>120.850848000043</c:v>
                </c:pt>
                <c:pt idx="129">
                  <c:v>120.850848000043</c:v>
                </c:pt>
                <c:pt idx="130">
                  <c:v>122.748537000045</c:v>
                </c:pt>
                <c:pt idx="131">
                  <c:v>122.748537000045</c:v>
                </c:pt>
                <c:pt idx="132">
                  <c:v>124.639963000047</c:v>
                </c:pt>
                <c:pt idx="133">
                  <c:v>124.639963000047</c:v>
                </c:pt>
                <c:pt idx="134">
                  <c:v>126.531389000049</c:v>
                </c:pt>
                <c:pt idx="135">
                  <c:v>126.531389000049</c:v>
                </c:pt>
                <c:pt idx="136">
                  <c:v>128.42281500005001</c:v>
                </c:pt>
                <c:pt idx="137">
                  <c:v>128.42281500005001</c:v>
                </c:pt>
                <c:pt idx="138">
                  <c:v>130.31424100004801</c:v>
                </c:pt>
                <c:pt idx="139">
                  <c:v>130.31424100004801</c:v>
                </c:pt>
                <c:pt idx="140">
                  <c:v>132.205667000045</c:v>
                </c:pt>
                <c:pt idx="141">
                  <c:v>132.205667000045</c:v>
                </c:pt>
                <c:pt idx="142">
                  <c:v>134.09083000004301</c:v>
                </c:pt>
                <c:pt idx="143">
                  <c:v>134.09083000004301</c:v>
                </c:pt>
                <c:pt idx="144">
                  <c:v>135.96973000003999</c:v>
                </c:pt>
                <c:pt idx="145">
                  <c:v>135.96973000003999</c:v>
                </c:pt>
                <c:pt idx="146">
                  <c:v>137.86115600003799</c:v>
                </c:pt>
                <c:pt idx="147">
                  <c:v>137.86115600003799</c:v>
                </c:pt>
                <c:pt idx="148">
                  <c:v>139.752582000036</c:v>
                </c:pt>
                <c:pt idx="149">
                  <c:v>139.752582000036</c:v>
                </c:pt>
                <c:pt idx="150">
                  <c:v>141.64400800003301</c:v>
                </c:pt>
                <c:pt idx="151">
                  <c:v>141.64400800003301</c:v>
                </c:pt>
                <c:pt idx="152">
                  <c:v>143.529171000031</c:v>
                </c:pt>
                <c:pt idx="153">
                  <c:v>143.529171000031</c:v>
                </c:pt>
                <c:pt idx="154">
                  <c:v>145.42059700002801</c:v>
                </c:pt>
                <c:pt idx="155">
                  <c:v>145.42059700002801</c:v>
                </c:pt>
                <c:pt idx="156">
                  <c:v>147.305760000026</c:v>
                </c:pt>
                <c:pt idx="157">
                  <c:v>147.305760000026</c:v>
                </c:pt>
                <c:pt idx="158">
                  <c:v>149.184660000024</c:v>
                </c:pt>
                <c:pt idx="159">
                  <c:v>149.184660000024</c:v>
                </c:pt>
                <c:pt idx="160">
                  <c:v>151.07608600002101</c:v>
                </c:pt>
                <c:pt idx="161">
                  <c:v>151.07608600002101</c:v>
                </c:pt>
                <c:pt idx="162">
                  <c:v>152.95498600001901</c:v>
                </c:pt>
                <c:pt idx="163">
                  <c:v>152.95498600001901</c:v>
                </c:pt>
                <c:pt idx="164">
                  <c:v>154.84641200001599</c:v>
                </c:pt>
                <c:pt idx="165">
                  <c:v>154.84641200001599</c:v>
                </c:pt>
                <c:pt idx="166">
                  <c:v>156.72531200001399</c:v>
                </c:pt>
                <c:pt idx="167">
                  <c:v>156.72531200001399</c:v>
                </c:pt>
                <c:pt idx="168">
                  <c:v>158.60421200001099</c:v>
                </c:pt>
                <c:pt idx="169">
                  <c:v>158.60421200001099</c:v>
                </c:pt>
                <c:pt idx="170">
                  <c:v>160.48311200000899</c:v>
                </c:pt>
                <c:pt idx="171">
                  <c:v>160.48311200000899</c:v>
                </c:pt>
                <c:pt idx="172">
                  <c:v>162.37453800000699</c:v>
                </c:pt>
                <c:pt idx="173">
                  <c:v>162.37453800000699</c:v>
                </c:pt>
                <c:pt idx="174">
                  <c:v>164.265964000004</c:v>
                </c:pt>
                <c:pt idx="175">
                  <c:v>164.265964000004</c:v>
                </c:pt>
                <c:pt idx="176">
                  <c:v>166.144864000002</c:v>
                </c:pt>
                <c:pt idx="177">
                  <c:v>166.144864000002</c:v>
                </c:pt>
                <c:pt idx="178">
                  <c:v>168.03628999999901</c:v>
                </c:pt>
                <c:pt idx="179">
                  <c:v>168.03628999999901</c:v>
                </c:pt>
                <c:pt idx="180">
                  <c:v>169.92771599999699</c:v>
                </c:pt>
                <c:pt idx="181">
                  <c:v>169.92771599999699</c:v>
                </c:pt>
                <c:pt idx="182">
                  <c:v>171.80661599999399</c:v>
                </c:pt>
                <c:pt idx="183">
                  <c:v>171.80661599999399</c:v>
                </c:pt>
                <c:pt idx="184">
                  <c:v>173.698041999992</c:v>
                </c:pt>
                <c:pt idx="185">
                  <c:v>173.698041999992</c:v>
                </c:pt>
                <c:pt idx="186">
                  <c:v>175.58946799999001</c:v>
                </c:pt>
                <c:pt idx="187">
                  <c:v>175.58946799999001</c:v>
                </c:pt>
                <c:pt idx="188">
                  <c:v>177.48089399998699</c:v>
                </c:pt>
                <c:pt idx="189">
                  <c:v>177.48089399998699</c:v>
                </c:pt>
                <c:pt idx="190">
                  <c:v>179.36605699998501</c:v>
                </c:pt>
                <c:pt idx="191">
                  <c:v>179.36605699998501</c:v>
                </c:pt>
                <c:pt idx="192">
                  <c:v>181.25748299998199</c:v>
                </c:pt>
                <c:pt idx="193">
                  <c:v>181.25748299998199</c:v>
                </c:pt>
                <c:pt idx="194">
                  <c:v>183.14890899997999</c:v>
                </c:pt>
                <c:pt idx="195">
                  <c:v>183.14890899997999</c:v>
                </c:pt>
                <c:pt idx="196">
                  <c:v>185.03407199997699</c:v>
                </c:pt>
                <c:pt idx="197">
                  <c:v>185.03407199997699</c:v>
                </c:pt>
                <c:pt idx="198">
                  <c:v>186.92549799997499</c:v>
                </c:pt>
                <c:pt idx="199">
                  <c:v>186.92549799997499</c:v>
                </c:pt>
                <c:pt idx="200">
                  <c:v>188.81066099997301</c:v>
                </c:pt>
                <c:pt idx="201">
                  <c:v>188.81066099997301</c:v>
                </c:pt>
                <c:pt idx="202">
                  <c:v>190.69582399997</c:v>
                </c:pt>
                <c:pt idx="203">
                  <c:v>190.69582399997</c:v>
                </c:pt>
                <c:pt idx="204">
                  <c:v>192.574723999968</c:v>
                </c:pt>
                <c:pt idx="205">
                  <c:v>192.574723999968</c:v>
                </c:pt>
                <c:pt idx="206">
                  <c:v>194.45988699996499</c:v>
                </c:pt>
                <c:pt idx="207">
                  <c:v>194.45988699996499</c:v>
                </c:pt>
                <c:pt idx="208">
                  <c:v>196.33878699996299</c:v>
                </c:pt>
                <c:pt idx="209">
                  <c:v>196.33878699996299</c:v>
                </c:pt>
                <c:pt idx="210">
                  <c:v>198.23021299996</c:v>
                </c:pt>
                <c:pt idx="211">
                  <c:v>198.23021299996</c:v>
                </c:pt>
                <c:pt idx="212">
                  <c:v>200.11537599995799</c:v>
                </c:pt>
                <c:pt idx="213">
                  <c:v>200.11537599995799</c:v>
                </c:pt>
                <c:pt idx="214">
                  <c:v>202.006801999956</c:v>
                </c:pt>
                <c:pt idx="215">
                  <c:v>202.006801999956</c:v>
                </c:pt>
                <c:pt idx="216">
                  <c:v>203.89822799995301</c:v>
                </c:pt>
                <c:pt idx="217">
                  <c:v>203.89822799995301</c:v>
                </c:pt>
                <c:pt idx="218">
                  <c:v>205.783390999951</c:v>
                </c:pt>
                <c:pt idx="219">
                  <c:v>205.783390999951</c:v>
                </c:pt>
                <c:pt idx="220">
                  <c:v>207.66855399994799</c:v>
                </c:pt>
                <c:pt idx="221">
                  <c:v>207.66855399994799</c:v>
                </c:pt>
                <c:pt idx="222">
                  <c:v>209.553716999946</c:v>
                </c:pt>
                <c:pt idx="223">
                  <c:v>209.553716999946</c:v>
                </c:pt>
                <c:pt idx="224">
                  <c:v>211.438879999943</c:v>
                </c:pt>
                <c:pt idx="225">
                  <c:v>211.438879999943</c:v>
                </c:pt>
                <c:pt idx="226">
                  <c:v>213.32404299994101</c:v>
                </c:pt>
                <c:pt idx="227">
                  <c:v>213.32404299994101</c:v>
                </c:pt>
                <c:pt idx="228">
                  <c:v>215.20294299993901</c:v>
                </c:pt>
                <c:pt idx="229">
                  <c:v>215.20294299993901</c:v>
                </c:pt>
                <c:pt idx="230">
                  <c:v>217.09436899993599</c:v>
                </c:pt>
                <c:pt idx="231">
                  <c:v>217.09436899993599</c:v>
                </c:pt>
                <c:pt idx="232">
                  <c:v>218.985794999934</c:v>
                </c:pt>
                <c:pt idx="233">
                  <c:v>218.985794999934</c:v>
                </c:pt>
                <c:pt idx="234">
                  <c:v>220.87095799993099</c:v>
                </c:pt>
                <c:pt idx="235">
                  <c:v>220.87095799993099</c:v>
                </c:pt>
                <c:pt idx="236">
                  <c:v>222.75612099992901</c:v>
                </c:pt>
                <c:pt idx="237">
                  <c:v>222.75612099992901</c:v>
                </c:pt>
                <c:pt idx="238">
                  <c:v>224.641283999926</c:v>
                </c:pt>
                <c:pt idx="239">
                  <c:v>224.641283999926</c:v>
                </c:pt>
                <c:pt idx="240">
                  <c:v>226.53270999992401</c:v>
                </c:pt>
                <c:pt idx="241">
                  <c:v>226.53270999992401</c:v>
                </c:pt>
                <c:pt idx="242">
                  <c:v>228.42413599992199</c:v>
                </c:pt>
                <c:pt idx="243">
                  <c:v>228.42413599992199</c:v>
                </c:pt>
                <c:pt idx="244">
                  <c:v>230.30929899992199</c:v>
                </c:pt>
                <c:pt idx="245">
                  <c:v>230.30929899992199</c:v>
                </c:pt>
                <c:pt idx="246">
                  <c:v>232.19446199992299</c:v>
                </c:pt>
                <c:pt idx="247">
                  <c:v>232.19446199992299</c:v>
                </c:pt>
                <c:pt idx="248">
                  <c:v>234.073361999925</c:v>
                </c:pt>
                <c:pt idx="249">
                  <c:v>234.073361999925</c:v>
                </c:pt>
                <c:pt idx="250">
                  <c:v>235.96478799992701</c:v>
                </c:pt>
                <c:pt idx="251">
                  <c:v>235.96478799992701</c:v>
                </c:pt>
                <c:pt idx="252">
                  <c:v>237.84368799992899</c:v>
                </c:pt>
                <c:pt idx="253">
                  <c:v>237.84368799992899</c:v>
                </c:pt>
                <c:pt idx="254">
                  <c:v>239.72885099993101</c:v>
                </c:pt>
                <c:pt idx="255">
                  <c:v>239.72885099993101</c:v>
                </c:pt>
                <c:pt idx="256">
                  <c:v>241.60775099993299</c:v>
                </c:pt>
                <c:pt idx="257">
                  <c:v>241.60775099993299</c:v>
                </c:pt>
                <c:pt idx="258">
                  <c:v>243.486650999934</c:v>
                </c:pt>
                <c:pt idx="259">
                  <c:v>243.486650999934</c:v>
                </c:pt>
                <c:pt idx="260">
                  <c:v>245.37807699993601</c:v>
                </c:pt>
                <c:pt idx="261">
                  <c:v>245.37807699993601</c:v>
                </c:pt>
                <c:pt idx="262">
                  <c:v>247.269502999938</c:v>
                </c:pt>
                <c:pt idx="263">
                  <c:v>247.269502999938</c:v>
                </c:pt>
                <c:pt idx="264">
                  <c:v>249.15466599993999</c:v>
                </c:pt>
                <c:pt idx="265">
                  <c:v>249.15466599993999</c:v>
                </c:pt>
                <c:pt idx="266">
                  <c:v>251.03982899994199</c:v>
                </c:pt>
                <c:pt idx="267">
                  <c:v>251.03982899994199</c:v>
                </c:pt>
                <c:pt idx="268">
                  <c:v>252.931254999944</c:v>
                </c:pt>
                <c:pt idx="269">
                  <c:v>252.931254999944</c:v>
                </c:pt>
                <c:pt idx="270">
                  <c:v>254.82268099994499</c:v>
                </c:pt>
                <c:pt idx="271">
                  <c:v>254.82268099994499</c:v>
                </c:pt>
                <c:pt idx="272">
                  <c:v>256.71410699994601</c:v>
                </c:pt>
                <c:pt idx="273">
                  <c:v>256.71410699994601</c:v>
                </c:pt>
                <c:pt idx="274">
                  <c:v>258.59926999994298</c:v>
                </c:pt>
                <c:pt idx="275">
                  <c:v>258.59926999994298</c:v>
                </c:pt>
                <c:pt idx="276">
                  <c:v>260.49069599994101</c:v>
                </c:pt>
                <c:pt idx="277">
                  <c:v>260.49069599994101</c:v>
                </c:pt>
                <c:pt idx="278">
                  <c:v>262.38212199993802</c:v>
                </c:pt>
                <c:pt idx="279">
                  <c:v>262.38212199993802</c:v>
                </c:pt>
                <c:pt idx="280">
                  <c:v>264.273547999936</c:v>
                </c:pt>
                <c:pt idx="281">
                  <c:v>264.273547999936</c:v>
                </c:pt>
                <c:pt idx="282">
                  <c:v>266.15871099993302</c:v>
                </c:pt>
                <c:pt idx="283">
                  <c:v>266.15871099993302</c:v>
                </c:pt>
                <c:pt idx="284">
                  <c:v>268.04387399993101</c:v>
                </c:pt>
                <c:pt idx="285">
                  <c:v>268.04387399993101</c:v>
                </c:pt>
                <c:pt idx="286">
                  <c:v>269.929036999929</c:v>
                </c:pt>
                <c:pt idx="287">
                  <c:v>269.929036999929</c:v>
                </c:pt>
                <c:pt idx="288">
                  <c:v>271.81419999992602</c:v>
                </c:pt>
                <c:pt idx="289">
                  <c:v>271.81419999992602</c:v>
                </c:pt>
                <c:pt idx="290">
                  <c:v>273.705625999924</c:v>
                </c:pt>
                <c:pt idx="291">
                  <c:v>273.705625999924</c:v>
                </c:pt>
                <c:pt idx="292">
                  <c:v>275.59078899992102</c:v>
                </c:pt>
                <c:pt idx="293">
                  <c:v>275.59078899992102</c:v>
                </c:pt>
                <c:pt idx="294">
                  <c:v>277.475951999919</c:v>
                </c:pt>
                <c:pt idx="295">
                  <c:v>277.475951999919</c:v>
                </c:pt>
                <c:pt idx="296">
                  <c:v>279.36111499991603</c:v>
                </c:pt>
                <c:pt idx="297">
                  <c:v>279.36111499991603</c:v>
                </c:pt>
                <c:pt idx="298">
                  <c:v>281.24627799991401</c:v>
                </c:pt>
                <c:pt idx="299">
                  <c:v>281.24627799991401</c:v>
                </c:pt>
                <c:pt idx="300">
                  <c:v>283.13770399991199</c:v>
                </c:pt>
                <c:pt idx="301">
                  <c:v>283.13770399991199</c:v>
                </c:pt>
                <c:pt idx="302">
                  <c:v>285.01660399990902</c:v>
                </c:pt>
                <c:pt idx="303">
                  <c:v>285.01660399990902</c:v>
                </c:pt>
                <c:pt idx="304">
                  <c:v>286.908029999907</c:v>
                </c:pt>
                <c:pt idx="305">
                  <c:v>286.908029999907</c:v>
                </c:pt>
                <c:pt idx="306">
                  <c:v>288.79319299990402</c:v>
                </c:pt>
                <c:pt idx="307">
                  <c:v>288.79319299990402</c:v>
                </c:pt>
                <c:pt idx="308">
                  <c:v>290.67835599990201</c:v>
                </c:pt>
                <c:pt idx="309">
                  <c:v>290.67835599990201</c:v>
                </c:pt>
                <c:pt idx="310">
                  <c:v>292.55725599990001</c:v>
                </c:pt>
                <c:pt idx="311">
                  <c:v>292.55725599990001</c:v>
                </c:pt>
                <c:pt idx="312">
                  <c:v>294.44868199989702</c:v>
                </c:pt>
                <c:pt idx="313">
                  <c:v>294.44868199989702</c:v>
                </c:pt>
                <c:pt idx="314">
                  <c:v>296.33384499989501</c:v>
                </c:pt>
                <c:pt idx="315">
                  <c:v>296.33384499989501</c:v>
                </c:pt>
                <c:pt idx="316">
                  <c:v>298.21900799989203</c:v>
                </c:pt>
                <c:pt idx="317">
                  <c:v>298.21900799989203</c:v>
                </c:pt>
                <c:pt idx="318">
                  <c:v>300.10417099989002</c:v>
                </c:pt>
                <c:pt idx="319">
                  <c:v>300.10417099989002</c:v>
                </c:pt>
                <c:pt idx="320">
                  <c:v>301.99559699988703</c:v>
                </c:pt>
                <c:pt idx="321">
                  <c:v>301.99559699988703</c:v>
                </c:pt>
                <c:pt idx="322">
                  <c:v>303.887022999885</c:v>
                </c:pt>
                <c:pt idx="323">
                  <c:v>303.887022999885</c:v>
                </c:pt>
                <c:pt idx="324">
                  <c:v>305.77844899988298</c:v>
                </c:pt>
                <c:pt idx="325">
                  <c:v>305.77844899988298</c:v>
                </c:pt>
                <c:pt idx="326">
                  <c:v>307.66987499987999</c:v>
                </c:pt>
                <c:pt idx="327">
                  <c:v>307.66987499987999</c:v>
                </c:pt>
                <c:pt idx="328">
                  <c:v>309.55503799987798</c:v>
                </c:pt>
                <c:pt idx="329">
                  <c:v>309.55503799987798</c:v>
                </c:pt>
                <c:pt idx="330">
                  <c:v>311.440200999875</c:v>
                </c:pt>
                <c:pt idx="331">
                  <c:v>311.440200999875</c:v>
                </c:pt>
                <c:pt idx="332">
                  <c:v>313.32536399987299</c:v>
                </c:pt>
                <c:pt idx="333">
                  <c:v>313.32536399987299</c:v>
                </c:pt>
                <c:pt idx="334">
                  <c:v>315.21052699987001</c:v>
                </c:pt>
                <c:pt idx="335">
                  <c:v>315.21052699987001</c:v>
                </c:pt>
                <c:pt idx="336">
                  <c:v>317.10195299986799</c:v>
                </c:pt>
                <c:pt idx="337">
                  <c:v>317.10195299986799</c:v>
                </c:pt>
                <c:pt idx="338">
                  <c:v>318.98711599986598</c:v>
                </c:pt>
                <c:pt idx="339">
                  <c:v>318.98711599986598</c:v>
                </c:pt>
                <c:pt idx="340">
                  <c:v>320.872278999863</c:v>
                </c:pt>
                <c:pt idx="341">
                  <c:v>320.872278999863</c:v>
                </c:pt>
                <c:pt idx="342">
                  <c:v>322.75744199986099</c:v>
                </c:pt>
                <c:pt idx="343">
                  <c:v>322.75744199986099</c:v>
                </c:pt>
                <c:pt idx="344">
                  <c:v>324.64260499985801</c:v>
                </c:pt>
                <c:pt idx="345">
                  <c:v>324.64260499985801</c:v>
                </c:pt>
                <c:pt idx="346">
                  <c:v>326.527767999856</c:v>
                </c:pt>
                <c:pt idx="347">
                  <c:v>326.527767999856</c:v>
                </c:pt>
                <c:pt idx="348">
                  <c:v>328.41919399985301</c:v>
                </c:pt>
                <c:pt idx="349">
                  <c:v>328.41919399985301</c:v>
                </c:pt>
                <c:pt idx="350">
                  <c:v>330.31061999985099</c:v>
                </c:pt>
                <c:pt idx="351">
                  <c:v>330.31061999985099</c:v>
                </c:pt>
                <c:pt idx="352">
                  <c:v>332.20204599984902</c:v>
                </c:pt>
                <c:pt idx="353">
                  <c:v>332.20204599984902</c:v>
                </c:pt>
                <c:pt idx="354">
                  <c:v>334.09347199984597</c:v>
                </c:pt>
                <c:pt idx="355">
                  <c:v>334.09347199984597</c:v>
                </c:pt>
                <c:pt idx="356">
                  <c:v>335.97863499984402</c:v>
                </c:pt>
                <c:pt idx="357">
                  <c:v>335.97863499984402</c:v>
                </c:pt>
                <c:pt idx="358">
                  <c:v>337.86379799984098</c:v>
                </c:pt>
                <c:pt idx="359">
                  <c:v>337.86379799984098</c:v>
                </c:pt>
                <c:pt idx="360">
                  <c:v>339.74896099983903</c:v>
                </c:pt>
                <c:pt idx="361">
                  <c:v>339.74896099983903</c:v>
                </c:pt>
                <c:pt idx="362">
                  <c:v>341.63412399983599</c:v>
                </c:pt>
                <c:pt idx="363">
                  <c:v>341.63412399983599</c:v>
                </c:pt>
                <c:pt idx="364">
                  <c:v>343.52554999983403</c:v>
                </c:pt>
                <c:pt idx="365">
                  <c:v>343.52554999983403</c:v>
                </c:pt>
                <c:pt idx="366">
                  <c:v>345.416975999832</c:v>
                </c:pt>
                <c:pt idx="367">
                  <c:v>345.416975999832</c:v>
                </c:pt>
                <c:pt idx="368">
                  <c:v>347.30840199982902</c:v>
                </c:pt>
                <c:pt idx="369">
                  <c:v>347.30840199982902</c:v>
                </c:pt>
                <c:pt idx="370">
                  <c:v>349.193564999827</c:v>
                </c:pt>
                <c:pt idx="371">
                  <c:v>349.193564999827</c:v>
                </c:pt>
                <c:pt idx="372">
                  <c:v>351.07872799982403</c:v>
                </c:pt>
                <c:pt idx="373">
                  <c:v>351.07872799982403</c:v>
                </c:pt>
                <c:pt idx="374">
                  <c:v>352.96389099982201</c:v>
                </c:pt>
                <c:pt idx="375">
                  <c:v>352.96389099982201</c:v>
                </c:pt>
                <c:pt idx="376">
                  <c:v>354.84905399981898</c:v>
                </c:pt>
                <c:pt idx="377">
                  <c:v>354.84905399981898</c:v>
                </c:pt>
                <c:pt idx="378">
                  <c:v>356.73421699981702</c:v>
                </c:pt>
                <c:pt idx="379">
                  <c:v>356.73421699981702</c:v>
                </c:pt>
                <c:pt idx="380">
                  <c:v>358.61937999981501</c:v>
                </c:pt>
                <c:pt idx="381">
                  <c:v>358.61937999981501</c:v>
                </c:pt>
              </c:numCache>
            </c:numRef>
          </c:xVal>
          <c:yVal>
            <c:numRef>
              <c:f>pat_result!$C$2:$C$401</c:f>
              <c:numCache>
                <c:formatCode>0.000000000_);[Red]\(0.000000000\)</c:formatCode>
                <c:ptCount val="400"/>
                <c:pt idx="0">
                  <c:v>0.94524748808722792</c:v>
                </c:pt>
                <c:pt idx="1">
                  <c:v>0.94524923813766293</c:v>
                </c:pt>
                <c:pt idx="2">
                  <c:v>0.94497717797524594</c:v>
                </c:pt>
                <c:pt idx="3">
                  <c:v>0.94603444901559697</c:v>
                </c:pt>
                <c:pt idx="4">
                  <c:v>0.94522700403451099</c:v>
                </c:pt>
                <c:pt idx="5">
                  <c:v>0.94735275834575794</c:v>
                </c:pt>
                <c:pt idx="6">
                  <c:v>0.94599014629422007</c:v>
                </c:pt>
                <c:pt idx="7">
                  <c:v>0.949168048206669</c:v>
                </c:pt>
                <c:pt idx="8">
                  <c:v>0.94728102231726308</c:v>
                </c:pt>
                <c:pt idx="9">
                  <c:v>0.95151806762449498</c:v>
                </c:pt>
                <c:pt idx="10">
                  <c:v>0.94907952268458395</c:v>
                </c:pt>
                <c:pt idx="11">
                  <c:v>0.95436392135500703</c:v>
                </c:pt>
                <c:pt idx="12">
                  <c:v>0.95138190500238895</c:v>
                </c:pt>
                <c:pt idx="13">
                  <c:v>0.95770408736538903</c:v>
                </c:pt>
                <c:pt idx="14">
                  <c:v>0.95419071174256909</c:v>
                </c:pt>
                <c:pt idx="15">
                  <c:v>0.96154300925095504</c:v>
                </c:pt>
                <c:pt idx="16">
                  <c:v>0.95753826480066206</c:v>
                </c:pt>
                <c:pt idx="17">
                  <c:v>0.96592152144339105</c:v>
                </c:pt>
                <c:pt idx="18">
                  <c:v>0.961367744069618</c:v>
                </c:pt>
                <c:pt idx="19">
                  <c:v>0.97076386618997201</c:v>
                </c:pt>
                <c:pt idx="20">
                  <c:v>0.965801046094242</c:v>
                </c:pt>
                <c:pt idx="21">
                  <c:v>0.97621979995106301</c:v>
                </c:pt>
                <c:pt idx="22">
                  <c:v>0.97069805780903196</c:v>
                </c:pt>
                <c:pt idx="23">
                  <c:v>0.98211321998968393</c:v>
                </c:pt>
                <c:pt idx="24">
                  <c:v>0.97607360464304593</c:v>
                </c:pt>
                <c:pt idx="25">
                  <c:v>0.98846317906143399</c:v>
                </c:pt>
                <c:pt idx="26">
                  <c:v>0.98191438885026805</c:v>
                </c:pt>
                <c:pt idx="27">
                  <c:v>0.99525356523518005</c:v>
                </c:pt>
                <c:pt idx="28">
                  <c:v>0.98822744019359299</c:v>
                </c:pt>
                <c:pt idx="29">
                  <c:v>1.0024913652279299</c:v>
                </c:pt>
                <c:pt idx="30">
                  <c:v>0.99493217729819894</c:v>
                </c:pt>
                <c:pt idx="31">
                  <c:v>1.0100837495571</c:v>
                </c:pt>
                <c:pt idx="32">
                  <c:v>1.0021252372424398</c:v>
                </c:pt>
                <c:pt idx="33">
                  <c:v>1.01813835664629</c:v>
                </c:pt>
                <c:pt idx="34">
                  <c:v>1.0097488081775099</c:v>
                </c:pt>
                <c:pt idx="35">
                  <c:v>1.0265870991911301</c:v>
                </c:pt>
                <c:pt idx="36">
                  <c:v>1.0177861585964301</c:v>
                </c:pt>
                <c:pt idx="37">
                  <c:v>1.03540869521821</c:v>
                </c:pt>
                <c:pt idx="38">
                  <c:v>1.02616136599857</c:v>
                </c:pt>
                <c:pt idx="39">
                  <c:v>1.0445175228924302</c:v>
                </c:pt>
                <c:pt idx="40">
                  <c:v>1.03490564213202</c:v>
                </c:pt>
                <c:pt idx="41">
                  <c:v>1.0539448266853599</c:v>
                </c:pt>
                <c:pt idx="42">
                  <c:v>1.0440574174758799</c:v>
                </c:pt>
                <c:pt idx="43">
                  <c:v>1.0637276141807099</c:v>
                </c:pt>
                <c:pt idx="44">
                  <c:v>1.0535333102836899</c:v>
                </c:pt>
                <c:pt idx="45">
                  <c:v>1.07377178266325</c:v>
                </c:pt>
                <c:pt idx="46">
                  <c:v>1.0633041698582399</c:v>
                </c:pt>
                <c:pt idx="47">
                  <c:v>1.0840420362274301</c:v>
                </c:pt>
                <c:pt idx="48">
                  <c:v>1.07327066675121</c:v>
                </c:pt>
                <c:pt idx="49">
                  <c:v>1.0944300245869201</c:v>
                </c:pt>
                <c:pt idx="50">
                  <c:v>1.0835306388050301</c:v>
                </c:pt>
                <c:pt idx="51">
                  <c:v>1.10503279083827</c:v>
                </c:pt>
                <c:pt idx="52">
                  <c:v>1.0939103911584001</c:v>
                </c:pt>
                <c:pt idx="53">
                  <c:v>1.1156656323407799</c:v>
                </c:pt>
                <c:pt idx="54">
                  <c:v>1.1045422693134199</c:v>
                </c:pt>
                <c:pt idx="55">
                  <c:v>1.1264580192667</c:v>
                </c:pt>
                <c:pt idx="56">
                  <c:v>1.1151714549454199</c:v>
                </c:pt>
                <c:pt idx="57">
                  <c:v>1.1371457081288399</c:v>
                </c:pt>
                <c:pt idx="58">
                  <c:v>1.1259268693129501</c:v>
                </c:pt>
                <c:pt idx="59">
                  <c:v>1.1478528902019101</c:v>
                </c:pt>
                <c:pt idx="60">
                  <c:v>1.1366512583309301</c:v>
                </c:pt>
                <c:pt idx="61">
                  <c:v>1.15841676063994</c:v>
                </c:pt>
                <c:pt idx="62">
                  <c:v>1.14729142839881</c:v>
                </c:pt>
                <c:pt idx="63">
                  <c:v>1.16878004276013</c:v>
                </c:pt>
                <c:pt idx="64">
                  <c:v>1.15793218007217</c:v>
                </c:pt>
                <c:pt idx="65">
                  <c:v>1.17901823780259</c:v>
                </c:pt>
                <c:pt idx="66">
                  <c:v>1.16830443603713</c:v>
                </c:pt>
                <c:pt idx="67">
                  <c:v>1.1888667320314299</c:v>
                </c:pt>
                <c:pt idx="68">
                  <c:v>1.17852113933017</c:v>
                </c:pt>
                <c:pt idx="69">
                  <c:v>1.198427897705</c:v>
                </c:pt>
                <c:pt idx="70">
                  <c:v>1.18841769891331</c:v>
                </c:pt>
                <c:pt idx="71">
                  <c:v>1.20754167046043</c:v>
                </c:pt>
                <c:pt idx="72">
                  <c:v>1.1979965625786699</c:v>
                </c:pt>
                <c:pt idx="73">
                  <c:v>1.21620533718321</c:v>
                </c:pt>
                <c:pt idx="74">
                  <c:v>1.2071604790544199</c:v>
                </c:pt>
                <c:pt idx="75">
                  <c:v>1.2243255344286401</c:v>
                </c:pt>
                <c:pt idx="76">
                  <c:v>1.21579016230535</c:v>
                </c:pt>
                <c:pt idx="77">
                  <c:v>1.2317942498261401</c:v>
                </c:pt>
                <c:pt idx="78">
                  <c:v>1.2238865627023798</c:v>
                </c:pt>
                <c:pt idx="79">
                  <c:v>1.23861058522581</c:v>
                </c:pt>
                <c:pt idx="80">
                  <c:v>1.23146220916455</c:v>
                </c:pt>
                <c:pt idx="81">
                  <c:v>1.2447789342197901</c:v>
                </c:pt>
                <c:pt idx="82">
                  <c:v>1.2383099772099999</c:v>
                </c:pt>
                <c:pt idx="83">
                  <c:v>1.25012809464634</c:v>
                </c:pt>
                <c:pt idx="84">
                  <c:v>1.24449322465249</c:v>
                </c:pt>
                <c:pt idx="85">
                  <c:v>1.2547068762848801</c:v>
                </c:pt>
                <c:pt idx="86">
                  <c:v>1.24991426043224</c:v>
                </c:pt>
                <c:pt idx="87">
                  <c:v>1.2584384765693799</c:v>
                </c:pt>
                <c:pt idx="88">
                  <c:v>1.25452835464545</c:v>
                </c:pt>
                <c:pt idx="89">
                  <c:v>1.26129116585959</c:v>
                </c:pt>
                <c:pt idx="90">
                  <c:v>1.2582747694938199</c:v>
                </c:pt>
                <c:pt idx="91">
                  <c:v>1.2632304355721</c:v>
                </c:pt>
                <c:pt idx="92">
                  <c:v>1.2611552162151498</c:v>
                </c:pt>
                <c:pt idx="93">
                  <c:v>1.2642614286721601</c:v>
                </c:pt>
                <c:pt idx="94">
                  <c:v>1.2631554300597099</c:v>
                </c:pt>
                <c:pt idx="95">
                  <c:v>1.2643729412134401</c:v>
                </c:pt>
                <c:pt idx="96">
                  <c:v>1.2642359354484398</c:v>
                </c:pt>
                <c:pt idx="97">
                  <c:v>1.2635540666029599</c:v>
                </c:pt>
                <c:pt idx="98">
                  <c:v>1.26438722752566</c:v>
                </c:pt>
                <c:pt idx="99">
                  <c:v>1.2618119417064602</c:v>
                </c:pt>
                <c:pt idx="100">
                  <c:v>1.2636162208450801</c:v>
                </c:pt>
                <c:pt idx="101">
                  <c:v>1.25918227929511</c:v>
                </c:pt>
                <c:pt idx="102">
                  <c:v>1.26193357705553</c:v>
                </c:pt>
                <c:pt idx="103">
                  <c:v>1.2556789549146601</c:v>
                </c:pt>
                <c:pt idx="104">
                  <c:v>1.25932361694599</c:v>
                </c:pt>
                <c:pt idx="105">
                  <c:v>1.2512839389332602</c:v>
                </c:pt>
                <c:pt idx="106">
                  <c:v>1.2558342040822301</c:v>
                </c:pt>
                <c:pt idx="107">
                  <c:v>1.24608368537018</c:v>
                </c:pt>
                <c:pt idx="108">
                  <c:v>1.2515196103627</c:v>
                </c:pt>
                <c:pt idx="109">
                  <c:v>1.2401502042419801</c:v>
                </c:pt>
                <c:pt idx="110">
                  <c:v>1.24639557489169</c:v>
                </c:pt>
                <c:pt idx="111">
                  <c:v>1.2334992142977799</c:v>
                </c:pt>
                <c:pt idx="112">
                  <c:v>1.2405039766061701</c:v>
                </c:pt>
                <c:pt idx="113">
                  <c:v>1.2261827199452602</c:v>
                </c:pt>
                <c:pt idx="114">
                  <c:v>1.23382246441362</c:v>
                </c:pt>
                <c:pt idx="115">
                  <c:v>1.2181743212228799</c:v>
                </c:pt>
                <c:pt idx="116">
                  <c:v>1.2264849153517801</c:v>
                </c:pt>
                <c:pt idx="117">
                  <c:v>1.2096334510147699</c:v>
                </c:pt>
                <c:pt idx="118">
                  <c:v>1.2185271301804599</c:v>
                </c:pt>
                <c:pt idx="119">
                  <c:v>1.2005966099242</c:v>
                </c:pt>
                <c:pt idx="120">
                  <c:v>1.21000882611349</c:v>
                </c:pt>
                <c:pt idx="121">
                  <c:v>1.1911270400743301</c:v>
                </c:pt>
                <c:pt idx="122">
                  <c:v>1.2010530974092999</c:v>
                </c:pt>
                <c:pt idx="123">
                  <c:v>1.1813548314536602</c:v>
                </c:pt>
                <c:pt idx="124">
                  <c:v>1.19166726168967</c:v>
                </c:pt>
                <c:pt idx="125">
                  <c:v>1.17128095894749</c:v>
                </c:pt>
                <c:pt idx="126">
                  <c:v>1.18191388239826</c:v>
                </c:pt>
                <c:pt idx="127">
                  <c:v>1.1609671129776</c:v>
                </c:pt>
                <c:pt idx="128">
                  <c:v>1.1718214049836</c:v>
                </c:pt>
                <c:pt idx="129">
                  <c:v>1.15043831934484</c:v>
                </c:pt>
                <c:pt idx="130">
                  <c:v>1.1614146763400199</c:v>
                </c:pt>
                <c:pt idx="131">
                  <c:v>1.1397166174172</c:v>
                </c:pt>
                <c:pt idx="132">
                  <c:v>1.15085721671778</c:v>
                </c:pt>
                <c:pt idx="133">
                  <c:v>1.1289649889295998</c:v>
                </c:pt>
                <c:pt idx="134">
                  <c:v>1.1401747718002</c:v>
                </c:pt>
                <c:pt idx="135">
                  <c:v>1.1182030238026699</c:v>
                </c:pt>
                <c:pt idx="136">
                  <c:v>1.12942480149627</c:v>
                </c:pt>
                <c:pt idx="137">
                  <c:v>1.1074825505846799</c:v>
                </c:pt>
                <c:pt idx="138">
                  <c:v>1.1186621785703099</c:v>
                </c:pt>
                <c:pt idx="139">
                  <c:v>1.09685246111873</c:v>
                </c:pt>
                <c:pt idx="140">
                  <c:v>1.10793891327601</c:v>
                </c:pt>
                <c:pt idx="141">
                  <c:v>1.08635845486983</c:v>
                </c:pt>
                <c:pt idx="142">
                  <c:v>1.0973390545964701</c:v>
                </c:pt>
                <c:pt idx="143">
                  <c:v>1.0760767680335199</c:v>
                </c:pt>
                <c:pt idx="144">
                  <c:v>1.0869068064301299</c:v>
                </c:pt>
                <c:pt idx="145">
                  <c:v>1.0660443087139899</c:v>
                </c:pt>
                <c:pt idx="146">
                  <c:v>1.0765809296653299</c:v>
                </c:pt>
                <c:pt idx="147">
                  <c:v>1.05619769062178</c:v>
                </c:pt>
                <c:pt idx="148">
                  <c:v>1.06647076670277</c:v>
                </c:pt>
                <c:pt idx="149">
                  <c:v>1.04663744045673</c:v>
                </c:pt>
                <c:pt idx="150">
                  <c:v>1.0566126139608201</c:v>
                </c:pt>
                <c:pt idx="151">
                  <c:v>1.0373935969700299</c:v>
                </c:pt>
                <c:pt idx="152">
                  <c:v>1.0470707105045201</c:v>
                </c:pt>
                <c:pt idx="153">
                  <c:v>1.02852211239022</c:v>
                </c:pt>
                <c:pt idx="154">
                  <c:v>1.0378116843268199</c:v>
                </c:pt>
                <c:pt idx="155">
                  <c:v>1.01998834822399</c:v>
                </c:pt>
                <c:pt idx="156">
                  <c:v>1.0289239076536401</c:v>
                </c:pt>
                <c:pt idx="157">
                  <c:v>1.0118704474579199</c:v>
                </c:pt>
                <c:pt idx="158">
                  <c:v>1.0204280700516701</c:v>
                </c:pt>
                <c:pt idx="159">
                  <c:v>1.0041837363589499</c:v>
                </c:pt>
                <c:pt idx="160">
                  <c:v>1.01226285034883</c:v>
                </c:pt>
                <c:pt idx="161">
                  <c:v>0.99687048877197104</c:v>
                </c:pt>
                <c:pt idx="162">
                  <c:v>1.00455567892264</c:v>
                </c:pt>
                <c:pt idx="163">
                  <c:v>0.99004255862360901</c:v>
                </c:pt>
                <c:pt idx="164">
                  <c:v>0.99722103367628101</c:v>
                </c:pt>
                <c:pt idx="165">
                  <c:v>0.98362218567247295</c:v>
                </c:pt>
                <c:pt idx="166">
                  <c:v>0.99037116083575494</c:v>
                </c:pt>
                <c:pt idx="167">
                  <c:v>0.97770590758831899</c:v>
                </c:pt>
                <c:pt idx="168">
                  <c:v>0.98396921370172907</c:v>
                </c:pt>
                <c:pt idx="169">
                  <c:v>0.97225956940896907</c:v>
                </c:pt>
                <c:pt idx="170">
                  <c:v>0.97802673551324504</c:v>
                </c:pt>
                <c:pt idx="171">
                  <c:v>0.96729178634621704</c:v>
                </c:pt>
                <c:pt idx="172">
                  <c:v>0.97251884886691597</c:v>
                </c:pt>
                <c:pt idx="173">
                  <c:v>0.96278163373122505</c:v>
                </c:pt>
                <c:pt idx="174">
                  <c:v>0.96749545864248498</c:v>
                </c:pt>
                <c:pt idx="175">
                  <c:v>0.95877021699941101</c:v>
                </c:pt>
                <c:pt idx="176">
                  <c:v>0.96299249707579804</c:v>
                </c:pt>
                <c:pt idx="177">
                  <c:v>0.95528443665255303</c:v>
                </c:pt>
                <c:pt idx="178">
                  <c:v>0.95895633034231609</c:v>
                </c:pt>
                <c:pt idx="179">
                  <c:v>0.952282230783006</c:v>
                </c:pt>
                <c:pt idx="180">
                  <c:v>0.95542399398227695</c:v>
                </c:pt>
                <c:pt idx="181">
                  <c:v>0.94979215979972498</c:v>
                </c:pt>
                <c:pt idx="182">
                  <c:v>0.95241834628810096</c:v>
                </c:pt>
                <c:pt idx="183">
                  <c:v>0.94782850931454099</c:v>
                </c:pt>
                <c:pt idx="184">
                  <c:v>0.94990291940017202</c:v>
                </c:pt>
                <c:pt idx="185">
                  <c:v>0.946367292680794</c:v>
                </c:pt>
                <c:pt idx="186">
                  <c:v>0.94790242927202295</c:v>
                </c:pt>
                <c:pt idx="187">
                  <c:v>0.94542489617944503</c:v>
                </c:pt>
                <c:pt idx="188">
                  <c:v>0.94641910893542203</c:v>
                </c:pt>
                <c:pt idx="189">
                  <c:v>0.94500233155482005</c:v>
                </c:pt>
                <c:pt idx="190">
                  <c:v>0.94545684864672908</c:v>
                </c:pt>
                <c:pt idx="191">
                  <c:v>0.94509889816334303</c:v>
                </c:pt>
                <c:pt idx="192">
                  <c:v>0.94501035565256397</c:v>
                </c:pt>
                <c:pt idx="193">
                  <c:v>0.9457150826532289</c:v>
                </c:pt>
                <c:pt idx="194">
                  <c:v>0.94508415535951407</c:v>
                </c:pt>
                <c:pt idx="195">
                  <c:v>0.946850867226676</c:v>
                </c:pt>
                <c:pt idx="196">
                  <c:v>0.94567534358199501</c:v>
                </c:pt>
                <c:pt idx="197">
                  <c:v>0.94849857961278605</c:v>
                </c:pt>
                <c:pt idx="198">
                  <c:v>0.94678719601991601</c:v>
                </c:pt>
                <c:pt idx="199">
                  <c:v>0.95066739986153004</c:v>
                </c:pt>
                <c:pt idx="200">
                  <c:v>0.94841118562846305</c:v>
                </c:pt>
                <c:pt idx="201">
                  <c:v>0.95334051890595806</c:v>
                </c:pt>
                <c:pt idx="202">
                  <c:v>0.95054831990802002</c:v>
                </c:pt>
                <c:pt idx="203">
                  <c:v>0.95652111396377792</c:v>
                </c:pt>
                <c:pt idx="204">
                  <c:v>0.95318658647355503</c:v>
                </c:pt>
                <c:pt idx="205">
                  <c:v>0.96019225594980295</c:v>
                </c:pt>
                <c:pt idx="206">
                  <c:v>0.95634048217580803</c:v>
                </c:pt>
                <c:pt idx="207">
                  <c:v>0.96437371615017997</c:v>
                </c:pt>
                <c:pt idx="208">
                  <c:v>0.95998523005781899</c:v>
                </c:pt>
                <c:pt idx="209">
                  <c:v>0.96903207948288506</c:v>
                </c:pt>
                <c:pt idx="210">
                  <c:v>0.964155071394587</c:v>
                </c:pt>
                <c:pt idx="211">
                  <c:v>0.97420964582406799</c:v>
                </c:pt>
                <c:pt idx="212">
                  <c:v>0.96880552458859293</c:v>
                </c:pt>
                <c:pt idx="213">
                  <c:v>0.97984961230194789</c:v>
                </c:pt>
                <c:pt idx="214">
                  <c:v>0.97396073370705993</c:v>
                </c:pt>
                <c:pt idx="215">
                  <c:v>0.98598017795271797</c:v>
                </c:pt>
                <c:pt idx="216">
                  <c:v>0.979598211907036</c:v>
                </c:pt>
                <c:pt idx="217">
                  <c:v>0.99257274554550601</c:v>
                </c:pt>
                <c:pt idx="218">
                  <c:v>0.98568778875817098</c:v>
                </c:pt>
                <c:pt idx="219">
                  <c:v>0.99959104081793404</c:v>
                </c:pt>
                <c:pt idx="220">
                  <c:v>0.99223688345361505</c:v>
                </c:pt>
                <c:pt idx="221">
                  <c:v>1.0070422256618301</c:v>
                </c:pt>
                <c:pt idx="222">
                  <c:v>0.99923334985322299</c:v>
                </c:pt>
                <c:pt idx="223">
                  <c:v>1.0149104757476799</c:v>
                </c:pt>
                <c:pt idx="224">
                  <c:v>1.0066634817334201</c:v>
                </c:pt>
                <c:pt idx="225">
                  <c:v>1.0231779121142299</c:v>
                </c:pt>
                <c:pt idx="226">
                  <c:v>1.0145114584425801</c:v>
                </c:pt>
                <c:pt idx="227">
                  <c:v>1.03182447029235</c:v>
                </c:pt>
                <c:pt idx="228">
                  <c:v>1.02273157837191</c:v>
                </c:pt>
                <c:pt idx="229">
                  <c:v>1.0407970532706601</c:v>
                </c:pt>
                <c:pt idx="230">
                  <c:v>1.03138791720529</c:v>
                </c:pt>
                <c:pt idx="231">
                  <c:v>1.05016202881936</c:v>
                </c:pt>
                <c:pt idx="232">
                  <c:v>1.0404043252047199</c:v>
                </c:pt>
                <c:pt idx="233">
                  <c:v>1.0598325906436199</c:v>
                </c:pt>
                <c:pt idx="234">
                  <c:v>1.04972410139094</c:v>
                </c:pt>
                <c:pt idx="235">
                  <c:v>1.06974426448414</c:v>
                </c:pt>
                <c:pt idx="236">
                  <c:v>1.05934880744662</c:v>
                </c:pt>
                <c:pt idx="237">
                  <c:v>1.0798948834648201</c:v>
                </c:pt>
                <c:pt idx="238">
                  <c:v>1.06924776092999</c:v>
                </c:pt>
                <c:pt idx="239">
                  <c:v>1.0902475096711</c:v>
                </c:pt>
                <c:pt idx="240">
                  <c:v>1.07942141879669</c:v>
                </c:pt>
                <c:pt idx="241">
                  <c:v>1.1007973513911999</c:v>
                </c:pt>
                <c:pt idx="242">
                  <c:v>1.0898002625607199</c:v>
                </c:pt>
                <c:pt idx="243">
                  <c:v>1.11146658642798</c:v>
                </c:pt>
                <c:pt idx="244">
                  <c:v>1.1003088566547199</c:v>
                </c:pt>
                <c:pt idx="245">
                  <c:v>1.12217276319305</c:v>
                </c:pt>
                <c:pt idx="246">
                  <c:v>1.1109381425730001</c:v>
                </c:pt>
                <c:pt idx="247">
                  <c:v>1.1329014871003</c:v>
                </c:pt>
                <c:pt idx="248">
                  <c:v>1.1216062363839598</c:v>
                </c:pt>
                <c:pt idx="249">
                  <c:v>1.1435648965988601</c:v>
                </c:pt>
                <c:pt idx="250">
                  <c:v>1.13237071232891</c:v>
                </c:pt>
                <c:pt idx="251">
                  <c:v>1.1542141670942601</c:v>
                </c:pt>
                <c:pt idx="252">
                  <c:v>1.14303686860345</c:v>
                </c:pt>
                <c:pt idx="253">
                  <c:v>1.1646507374906301</c:v>
                </c:pt>
                <c:pt idx="254">
                  <c:v>1.1536565999567501</c:v>
                </c:pt>
                <c:pt idx="255">
                  <c:v>1.17492015303412</c:v>
                </c:pt>
                <c:pt idx="256">
                  <c:v>1.1641021747739801</c:v>
                </c:pt>
                <c:pt idx="257">
                  <c:v>1.1848930784179701</c:v>
                </c:pt>
                <c:pt idx="258">
                  <c:v>1.1743500016316901</c:v>
                </c:pt>
                <c:pt idx="259">
                  <c:v>1.19454210551597</c:v>
                </c:pt>
                <c:pt idx="260">
                  <c:v>1.18440493225351</c:v>
                </c:pt>
                <c:pt idx="261">
                  <c:v>1.2038649980210501</c:v>
                </c:pt>
                <c:pt idx="262">
                  <c:v>1.19413473937243</c:v>
                </c:pt>
                <c:pt idx="263">
                  <c:v>1.21273259513851</c:v>
                </c:pt>
                <c:pt idx="264">
                  <c:v>1.2034454274951201</c:v>
                </c:pt>
                <c:pt idx="265">
                  <c:v>1.22105523132557</c:v>
                </c:pt>
                <c:pt idx="266">
                  <c:v>1.21230673422668</c:v>
                </c:pt>
                <c:pt idx="267">
                  <c:v>1.2288024008932898</c:v>
                </c:pt>
                <c:pt idx="268">
                  <c:v>1.2206831167104402</c:v>
                </c:pt>
                <c:pt idx="269">
                  <c:v>1.2359383498637899</c:v>
                </c:pt>
                <c:pt idx="270">
                  <c:v>1.2284829811459299</c:v>
                </c:pt>
                <c:pt idx="271">
                  <c:v>1.2423807117966401</c:v>
                </c:pt>
                <c:pt idx="272">
                  <c:v>1.2356473615829298</c:v>
                </c:pt>
                <c:pt idx="273">
                  <c:v>1.2480780134209499</c:v>
                </c:pt>
                <c:pt idx="274">
                  <c:v>1.24210019790718</c:v>
                </c:pt>
                <c:pt idx="275">
                  <c:v>1.2529687274608798</c:v>
                </c:pt>
                <c:pt idx="276">
                  <c:v>1.2478328660000402</c:v>
                </c:pt>
                <c:pt idx="277">
                  <c:v>1.25704460436118</c:v>
                </c:pt>
                <c:pt idx="278">
                  <c:v>1.2527758497459101</c:v>
                </c:pt>
                <c:pt idx="279">
                  <c:v>1.26025344380654</c:v>
                </c:pt>
                <c:pt idx="280">
                  <c:v>1.2568880030726701</c:v>
                </c:pt>
                <c:pt idx="281">
                  <c:v>1.2625677561679001</c:v>
                </c:pt>
                <c:pt idx="282">
                  <c:v>1.2601252323129799</c:v>
                </c:pt>
                <c:pt idx="283">
                  <c:v>1.2639643300096002</c:v>
                </c:pt>
                <c:pt idx="284">
                  <c:v>1.26247490351923</c:v>
                </c:pt>
                <c:pt idx="285">
                  <c:v>1.2644401917196699</c:v>
                </c:pt>
                <c:pt idx="286">
                  <c:v>1.2639167919590799</c:v>
                </c:pt>
                <c:pt idx="287">
                  <c:v>1.26399123406743</c:v>
                </c:pt>
                <c:pt idx="288">
                  <c:v>1.2644384093069101</c:v>
                </c:pt>
                <c:pt idx="289">
                  <c:v>1.26262134185093</c:v>
                </c:pt>
                <c:pt idx="290">
                  <c:v>1.2640323049102999</c:v>
                </c:pt>
                <c:pt idx="291">
                  <c:v>1.2603333084012298</c:v>
                </c:pt>
                <c:pt idx="292">
                  <c:v>1.2627047319153102</c:v>
                </c:pt>
                <c:pt idx="293">
                  <c:v>1.25716205577262</c:v>
                </c:pt>
                <c:pt idx="294">
                  <c:v>1.26046740892933</c:v>
                </c:pt>
                <c:pt idx="295">
                  <c:v>1.2531285118600202</c:v>
                </c:pt>
                <c:pt idx="296">
                  <c:v>1.2573395412246602</c:v>
                </c:pt>
                <c:pt idx="297">
                  <c:v>1.24826671637729</c:v>
                </c:pt>
                <c:pt idx="298">
                  <c:v>1.2533479540529799</c:v>
                </c:pt>
                <c:pt idx="299">
                  <c:v>1.2426168745581501</c:v>
                </c:pt>
                <c:pt idx="300">
                  <c:v>1.2485088974793299</c:v>
                </c:pt>
                <c:pt idx="301">
                  <c:v>1.2362025786595299</c:v>
                </c:pt>
                <c:pt idx="302">
                  <c:v>1.2429143864668799</c:v>
                </c:pt>
                <c:pt idx="303">
                  <c:v>1.2291418983473699</c:v>
                </c:pt>
                <c:pt idx="304">
                  <c:v>1.2365357975434901</c:v>
                </c:pt>
                <c:pt idx="305">
                  <c:v>1.2213958095773201</c:v>
                </c:pt>
                <c:pt idx="306">
                  <c:v>1.2294833970166901</c:v>
                </c:pt>
                <c:pt idx="307">
                  <c:v>1.21309631264615</c:v>
                </c:pt>
                <c:pt idx="308">
                  <c:v>1.2217920601038899</c:v>
                </c:pt>
                <c:pt idx="309">
                  <c:v>1.2042794902244101</c:v>
                </c:pt>
                <c:pt idx="310">
                  <c:v>1.21354818974581</c:v>
                </c:pt>
                <c:pt idx="311">
                  <c:v>1.1950389407659399</c:v>
                </c:pt>
                <c:pt idx="312">
                  <c:v>1.2047270992171599</c:v>
                </c:pt>
                <c:pt idx="313">
                  <c:v>1.1853432875111101</c:v>
                </c:pt>
                <c:pt idx="314">
                  <c:v>1.195476144346</c:v>
                </c:pt>
                <c:pt idx="315">
                  <c:v>1.1753501614529001</c:v>
                </c:pt>
                <c:pt idx="316">
                  <c:v>1.1858298864638801</c:v>
                </c:pt>
                <c:pt idx="317">
                  <c:v>1.165090691938</c:v>
                </c:pt>
                <c:pt idx="318">
                  <c:v>1.1758515746706601</c:v>
                </c:pt>
                <c:pt idx="319">
                  <c:v>1.1546264061254701</c:v>
                </c:pt>
                <c:pt idx="320">
                  <c:v>1.1655694007520401</c:v>
                </c:pt>
                <c:pt idx="321">
                  <c:v>1.1439816524955599</c:v>
                </c:pt>
                <c:pt idx="322">
                  <c:v>1.15507820451684</c:v>
                </c:pt>
                <c:pt idx="323">
                  <c:v>1.1332492293306999</c:v>
                </c:pt>
                <c:pt idx="324">
                  <c:v>1.14443850689611</c:v>
                </c:pt>
                <c:pt idx="325">
                  <c:v>1.12248500847417</c:v>
                </c:pt>
                <c:pt idx="326">
                  <c:v>1.1337086850746301</c:v>
                </c:pt>
                <c:pt idx="327">
                  <c:v>1.1117420037714101</c:v>
                </c:pt>
                <c:pt idx="328">
                  <c:v>1.12298032737785</c:v>
                </c:pt>
                <c:pt idx="329">
                  <c:v>1.1011054745670801</c:v>
                </c:pt>
                <c:pt idx="330">
                  <c:v>1.11227069454922</c:v>
                </c:pt>
                <c:pt idx="331">
                  <c:v>1.0905862222367901</c:v>
                </c:pt>
                <c:pt idx="332">
                  <c:v>1.1016295245732799</c:v>
                </c:pt>
                <c:pt idx="333">
                  <c:v>1.0802276847719601</c:v>
                </c:pt>
                <c:pt idx="334">
                  <c:v>1.0911034602738798</c:v>
                </c:pt>
                <c:pt idx="335">
                  <c:v>1.07006992013685</c:v>
                </c:pt>
                <c:pt idx="336">
                  <c:v>1.0807018440713501</c:v>
                </c:pt>
                <c:pt idx="337">
                  <c:v>1.0601174114623599</c:v>
                </c:pt>
                <c:pt idx="338">
                  <c:v>1.07053399728433</c:v>
                </c:pt>
                <c:pt idx="339">
                  <c:v>1.0504700282944899</c:v>
                </c:pt>
                <c:pt idx="340">
                  <c:v>1.06060225722917</c:v>
                </c:pt>
                <c:pt idx="341">
                  <c:v>1.0411252265445698</c:v>
                </c:pt>
                <c:pt idx="342">
                  <c:v>1.05094066874474</c:v>
                </c:pt>
                <c:pt idx="343">
                  <c:v>1.03211099640079</c:v>
                </c:pt>
                <c:pt idx="344">
                  <c:v>1.041580221159</c:v>
                </c:pt>
                <c:pt idx="345">
                  <c:v>1.02345251816533</c:v>
                </c:pt>
                <c:pt idx="346">
                  <c:v>1.0325489748901</c:v>
                </c:pt>
                <c:pt idx="347">
                  <c:v>1.0151724448666601</c:v>
                </c:pt>
                <c:pt idx="348">
                  <c:v>1.0238441472237201</c:v>
                </c:pt>
                <c:pt idx="349">
                  <c:v>1.0072654599439701</c:v>
                </c:pt>
                <c:pt idx="350">
                  <c:v>1.01551923038527</c:v>
                </c:pt>
                <c:pt idx="351">
                  <c:v>0.99977782817240302</c:v>
                </c:pt>
                <c:pt idx="352">
                  <c:v>1.0075947259031499</c:v>
                </c:pt>
                <c:pt idx="353">
                  <c:v>0.99272555862330403</c:v>
                </c:pt>
                <c:pt idx="354">
                  <c:v>1.0000888556812999</c:v>
                </c:pt>
                <c:pt idx="355">
                  <c:v>0.98612276548298294</c:v>
                </c:pt>
                <c:pt idx="356">
                  <c:v>0.99304037134735101</c:v>
                </c:pt>
                <c:pt idx="357">
                  <c:v>0.98000127124249392</c:v>
                </c:pt>
                <c:pt idx="358">
                  <c:v>0.98643779461056502</c:v>
                </c:pt>
                <c:pt idx="359">
                  <c:v>0.97434912460242606</c:v>
                </c:pt>
                <c:pt idx="360">
                  <c:v>0.98029332928831103</c:v>
                </c:pt>
                <c:pt idx="361">
                  <c:v>0.96917544215996398</c:v>
                </c:pt>
                <c:pt idx="362">
                  <c:v>0.97461770175079099</c:v>
                </c:pt>
                <c:pt idx="363">
                  <c:v>0.96448813084168405</c:v>
                </c:pt>
                <c:pt idx="364">
                  <c:v>0.96940368576300007</c:v>
                </c:pt>
                <c:pt idx="365">
                  <c:v>0.96028073974353001</c:v>
                </c:pt>
                <c:pt idx="366">
                  <c:v>0.9646788954171529</c:v>
                </c:pt>
                <c:pt idx="367">
                  <c:v>0.95657549067288705</c:v>
                </c:pt>
                <c:pt idx="368">
                  <c:v>0.96045022709048411</c:v>
                </c:pt>
                <c:pt idx="369">
                  <c:v>0.95337715528572198</c:v>
                </c:pt>
                <c:pt idx="370">
                  <c:v>0.95673493530823106</c:v>
                </c:pt>
                <c:pt idx="371">
                  <c:v>0.95069765799475092</c:v>
                </c:pt>
                <c:pt idx="372">
                  <c:v>0.95352297648240503</c:v>
                </c:pt>
                <c:pt idx="373">
                  <c:v>0.94852876647530804</c:v>
                </c:pt>
                <c:pt idx="374">
                  <c:v>0.95081829557408004</c:v>
                </c:pt>
                <c:pt idx="375">
                  <c:v>0.946872922497078</c:v>
                </c:pt>
                <c:pt idx="376">
                  <c:v>0.94862408463926895</c:v>
                </c:pt>
                <c:pt idx="377">
                  <c:v>0.94573192869790401</c:v>
                </c:pt>
                <c:pt idx="378">
                  <c:v>0.94694275493561297</c:v>
                </c:pt>
                <c:pt idx="379">
                  <c:v>0.94510700367065803</c:v>
                </c:pt>
                <c:pt idx="380">
                  <c:v>0.94577626699239103</c:v>
                </c:pt>
                <c:pt idx="381">
                  <c:v>0.94499881878780601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E454-49FE-809F-D5B4A31FCE39}"/>
            </c:ext>
          </c:extLst>
        </c:ser>
        <c:ser>
          <c:idx val="0"/>
          <c:order val="4"/>
          <c:tx>
            <c:strRef>
              <c:f>DTDRpat_result0!$O$1</c:f>
              <c:strCache>
                <c:ptCount val="1"/>
                <c:pt idx="0">
                  <c:v>F=39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xVal>
            <c:numRef>
              <c:f>DTDRpat_result0!$N$2:$N$427</c:f>
              <c:numCache>
                <c:formatCode>General</c:formatCode>
                <c:ptCount val="426"/>
                <c:pt idx="0">
                  <c:v>6.2630000000000012E-3</c:v>
                </c:pt>
                <c:pt idx="1">
                  <c:v>6.2630000000000012E-3</c:v>
                </c:pt>
                <c:pt idx="2">
                  <c:v>1.8851630000000021</c:v>
                </c:pt>
                <c:pt idx="3">
                  <c:v>1.8851630000000021</c:v>
                </c:pt>
                <c:pt idx="4">
                  <c:v>3.7891150000000429</c:v>
                </c:pt>
                <c:pt idx="5">
                  <c:v>3.7891150000000429</c:v>
                </c:pt>
                <c:pt idx="6">
                  <c:v>5.6680149999999898</c:v>
                </c:pt>
                <c:pt idx="7">
                  <c:v>5.6680149999999898</c:v>
                </c:pt>
                <c:pt idx="8">
                  <c:v>7.5657039999999816</c:v>
                </c:pt>
                <c:pt idx="9">
                  <c:v>7.5657039999999816</c:v>
                </c:pt>
                <c:pt idx="10">
                  <c:v>9.4508670000001374</c:v>
                </c:pt>
                <c:pt idx="11">
                  <c:v>9.4508670000001374</c:v>
                </c:pt>
                <c:pt idx="12">
                  <c:v>11.329767000000343</c:v>
                </c:pt>
                <c:pt idx="13">
                  <c:v>11.329767000000343</c:v>
                </c:pt>
                <c:pt idx="14">
                  <c:v>13.208667000000569</c:v>
                </c:pt>
                <c:pt idx="15">
                  <c:v>13.208667000000569</c:v>
                </c:pt>
                <c:pt idx="16">
                  <c:v>15.106356000000735</c:v>
                </c:pt>
                <c:pt idx="17">
                  <c:v>15.106356000000735</c:v>
                </c:pt>
                <c:pt idx="18">
                  <c:v>16.991519000000864</c:v>
                </c:pt>
                <c:pt idx="19">
                  <c:v>16.991519000000864</c:v>
                </c:pt>
                <c:pt idx="20">
                  <c:v>18.920523000001062</c:v>
                </c:pt>
                <c:pt idx="21">
                  <c:v>18.920523000001062</c:v>
                </c:pt>
                <c:pt idx="22">
                  <c:v>20.830738000001276</c:v>
                </c:pt>
                <c:pt idx="23">
                  <c:v>20.830738000001276</c:v>
                </c:pt>
                <c:pt idx="24">
                  <c:v>22.734690000001489</c:v>
                </c:pt>
                <c:pt idx="25">
                  <c:v>22.734690000001489</c:v>
                </c:pt>
                <c:pt idx="26">
                  <c:v>24.632379000001709</c:v>
                </c:pt>
                <c:pt idx="27">
                  <c:v>24.632379000001709</c:v>
                </c:pt>
                <c:pt idx="28">
                  <c:v>26.530068000001961</c:v>
                </c:pt>
                <c:pt idx="29">
                  <c:v>26.530068000001961</c:v>
                </c:pt>
                <c:pt idx="30">
                  <c:v>28.408968000002208</c:v>
                </c:pt>
                <c:pt idx="31">
                  <c:v>28.408968000002208</c:v>
                </c:pt>
                <c:pt idx="32">
                  <c:v>30.300394000002274</c:v>
                </c:pt>
                <c:pt idx="33">
                  <c:v>30.300394000002274</c:v>
                </c:pt>
                <c:pt idx="34">
                  <c:v>32.191820000002224</c:v>
                </c:pt>
                <c:pt idx="35">
                  <c:v>32.191820000002224</c:v>
                </c:pt>
                <c:pt idx="36">
                  <c:v>34.083246000001388</c:v>
                </c:pt>
                <c:pt idx="37">
                  <c:v>34.083246000001388</c:v>
                </c:pt>
                <c:pt idx="38">
                  <c:v>35.962146000000565</c:v>
                </c:pt>
                <c:pt idx="39">
                  <c:v>35.962146000000565</c:v>
                </c:pt>
                <c:pt idx="40">
                  <c:v>37.841045999999736</c:v>
                </c:pt>
                <c:pt idx="41">
                  <c:v>37.841045999999736</c:v>
                </c:pt>
                <c:pt idx="42">
                  <c:v>39.732471999998907</c:v>
                </c:pt>
                <c:pt idx="43">
                  <c:v>39.732471999998907</c:v>
                </c:pt>
                <c:pt idx="44">
                  <c:v>41.623897999998071</c:v>
                </c:pt>
                <c:pt idx="45">
                  <c:v>41.623897999998071</c:v>
                </c:pt>
                <c:pt idx="46">
                  <c:v>43.515323999997243</c:v>
                </c:pt>
                <c:pt idx="47">
                  <c:v>43.515323999997243</c:v>
                </c:pt>
                <c:pt idx="48">
                  <c:v>45.394223999996413</c:v>
                </c:pt>
                <c:pt idx="49">
                  <c:v>45.394223999996413</c:v>
                </c:pt>
                <c:pt idx="50">
                  <c:v>47.285649999995584</c:v>
                </c:pt>
                <c:pt idx="51">
                  <c:v>47.285649999995584</c:v>
                </c:pt>
                <c:pt idx="52">
                  <c:v>49.164549999994755</c:v>
                </c:pt>
                <c:pt idx="53">
                  <c:v>49.164549999994755</c:v>
                </c:pt>
                <c:pt idx="54">
                  <c:v>51.062238999993923</c:v>
                </c:pt>
                <c:pt idx="55">
                  <c:v>51.062238999993923</c:v>
                </c:pt>
                <c:pt idx="56">
                  <c:v>52.9411389999931</c:v>
                </c:pt>
                <c:pt idx="57">
                  <c:v>52.9411389999931</c:v>
                </c:pt>
                <c:pt idx="58">
                  <c:v>54.832564999992265</c:v>
                </c:pt>
                <c:pt idx="59">
                  <c:v>54.832564999992265</c:v>
                </c:pt>
                <c:pt idx="60">
                  <c:v>56.717727999991439</c:v>
                </c:pt>
                <c:pt idx="61">
                  <c:v>56.717727999991439</c:v>
                </c:pt>
                <c:pt idx="62">
                  <c:v>58.59662799999041</c:v>
                </c:pt>
                <c:pt idx="63">
                  <c:v>58.59662799999041</c:v>
                </c:pt>
                <c:pt idx="64">
                  <c:v>60.494316999989287</c:v>
                </c:pt>
                <c:pt idx="65">
                  <c:v>60.494316999989287</c:v>
                </c:pt>
                <c:pt idx="66">
                  <c:v>62.37321699998818</c:v>
                </c:pt>
                <c:pt idx="67">
                  <c:v>62.37321699998818</c:v>
                </c:pt>
                <c:pt idx="68">
                  <c:v>64.264642999987458</c:v>
                </c:pt>
                <c:pt idx="69">
                  <c:v>64.264642999987458</c:v>
                </c:pt>
                <c:pt idx="70">
                  <c:v>66.149805999988899</c:v>
                </c:pt>
                <c:pt idx="71">
                  <c:v>66.149805999988899</c:v>
                </c:pt>
                <c:pt idx="72">
                  <c:v>68.04123199999033</c:v>
                </c:pt>
                <c:pt idx="73">
                  <c:v>68.04123199999033</c:v>
                </c:pt>
                <c:pt idx="74">
                  <c:v>69.932657999992031</c:v>
                </c:pt>
                <c:pt idx="75">
                  <c:v>69.932657999992031</c:v>
                </c:pt>
                <c:pt idx="76">
                  <c:v>71.811557999993852</c:v>
                </c:pt>
                <c:pt idx="77">
                  <c:v>71.811557999993852</c:v>
                </c:pt>
                <c:pt idx="78">
                  <c:v>73.690457999995672</c:v>
                </c:pt>
                <c:pt idx="79">
                  <c:v>73.690457999995672</c:v>
                </c:pt>
                <c:pt idx="80">
                  <c:v>75.588146999997534</c:v>
                </c:pt>
                <c:pt idx="81">
                  <c:v>75.588146999997534</c:v>
                </c:pt>
                <c:pt idx="82">
                  <c:v>77.467046999999354</c:v>
                </c:pt>
                <c:pt idx="83">
                  <c:v>77.467046999999354</c:v>
                </c:pt>
                <c:pt idx="84">
                  <c:v>79.358473000001183</c:v>
                </c:pt>
                <c:pt idx="85">
                  <c:v>79.358473000001183</c:v>
                </c:pt>
                <c:pt idx="86">
                  <c:v>81.24989900000304</c:v>
                </c:pt>
                <c:pt idx="87">
                  <c:v>81.24989900000304</c:v>
                </c:pt>
                <c:pt idx="88">
                  <c:v>83.141325000004883</c:v>
                </c:pt>
                <c:pt idx="89">
                  <c:v>83.141325000004883</c:v>
                </c:pt>
                <c:pt idx="90">
                  <c:v>85.020225000006718</c:v>
                </c:pt>
                <c:pt idx="91">
                  <c:v>85.020225000006718</c:v>
                </c:pt>
                <c:pt idx="92">
                  <c:v>86.899125000008539</c:v>
                </c:pt>
                <c:pt idx="93">
                  <c:v>86.899125000008539</c:v>
                </c:pt>
                <c:pt idx="94">
                  <c:v>88.790551000010367</c:v>
                </c:pt>
                <c:pt idx="95">
                  <c:v>88.790551000010367</c:v>
                </c:pt>
                <c:pt idx="96">
                  <c:v>90.681977000012225</c:v>
                </c:pt>
                <c:pt idx="97">
                  <c:v>90.681977000012225</c:v>
                </c:pt>
                <c:pt idx="98">
                  <c:v>92.573403000014096</c:v>
                </c:pt>
                <c:pt idx="99">
                  <c:v>92.573403000014096</c:v>
                </c:pt>
                <c:pt idx="100">
                  <c:v>94.452303000016087</c:v>
                </c:pt>
                <c:pt idx="101">
                  <c:v>94.452303000016087</c:v>
                </c:pt>
                <c:pt idx="102">
                  <c:v>96.331203000018064</c:v>
                </c:pt>
                <c:pt idx="103">
                  <c:v>96.331203000018064</c:v>
                </c:pt>
                <c:pt idx="104">
                  <c:v>98.228892000020082</c:v>
                </c:pt>
                <c:pt idx="105">
                  <c:v>98.228892000020082</c:v>
                </c:pt>
                <c:pt idx="106">
                  <c:v>100.12031800002208</c:v>
                </c:pt>
                <c:pt idx="107">
                  <c:v>100.12031800002208</c:v>
                </c:pt>
                <c:pt idx="108">
                  <c:v>101.99921800002406</c:v>
                </c:pt>
                <c:pt idx="109">
                  <c:v>101.99921800002406</c:v>
                </c:pt>
                <c:pt idx="110">
                  <c:v>103.87811800002605</c:v>
                </c:pt>
                <c:pt idx="111">
                  <c:v>103.87811800002605</c:v>
                </c:pt>
                <c:pt idx="112">
                  <c:v>105.75701800002803</c:v>
                </c:pt>
                <c:pt idx="113">
                  <c:v>105.75701800002803</c:v>
                </c:pt>
                <c:pt idx="114">
                  <c:v>107.65470700003004</c:v>
                </c:pt>
                <c:pt idx="115">
                  <c:v>107.65470700003004</c:v>
                </c:pt>
                <c:pt idx="116">
                  <c:v>109.54613300003204</c:v>
                </c:pt>
                <c:pt idx="117">
                  <c:v>109.54613300003204</c:v>
                </c:pt>
                <c:pt idx="118">
                  <c:v>111.43755900003404</c:v>
                </c:pt>
                <c:pt idx="119">
                  <c:v>111.43755900003404</c:v>
                </c:pt>
                <c:pt idx="120">
                  <c:v>113.32898500003604</c:v>
                </c:pt>
                <c:pt idx="121">
                  <c:v>113.32898500003604</c:v>
                </c:pt>
                <c:pt idx="122">
                  <c:v>115.20788500003803</c:v>
                </c:pt>
                <c:pt idx="123">
                  <c:v>115.20788500003803</c:v>
                </c:pt>
                <c:pt idx="124">
                  <c:v>117.08678500003998</c:v>
                </c:pt>
                <c:pt idx="125">
                  <c:v>117.08678500003998</c:v>
                </c:pt>
                <c:pt idx="126">
                  <c:v>118.96568500004193</c:v>
                </c:pt>
                <c:pt idx="127">
                  <c:v>118.96568500004193</c:v>
                </c:pt>
                <c:pt idx="128">
                  <c:v>120.85084800004387</c:v>
                </c:pt>
                <c:pt idx="129">
                  <c:v>120.85084800004387</c:v>
                </c:pt>
                <c:pt idx="130">
                  <c:v>122.74853700004584</c:v>
                </c:pt>
                <c:pt idx="131">
                  <c:v>122.74853700004584</c:v>
                </c:pt>
                <c:pt idx="132">
                  <c:v>124.6399630000478</c:v>
                </c:pt>
                <c:pt idx="133">
                  <c:v>124.6399630000478</c:v>
                </c:pt>
                <c:pt idx="134">
                  <c:v>126.53138900004976</c:v>
                </c:pt>
                <c:pt idx="135">
                  <c:v>126.53138900004976</c:v>
                </c:pt>
                <c:pt idx="136">
                  <c:v>128.42281500005069</c:v>
                </c:pt>
                <c:pt idx="137">
                  <c:v>128.42281500005069</c:v>
                </c:pt>
                <c:pt idx="138">
                  <c:v>130.31424100004827</c:v>
                </c:pt>
                <c:pt idx="139">
                  <c:v>130.31424100004827</c:v>
                </c:pt>
                <c:pt idx="140">
                  <c:v>132.20566700004582</c:v>
                </c:pt>
                <c:pt idx="141">
                  <c:v>132.20566700004582</c:v>
                </c:pt>
                <c:pt idx="142">
                  <c:v>134.09083000004341</c:v>
                </c:pt>
                <c:pt idx="143">
                  <c:v>134.09083000004341</c:v>
                </c:pt>
                <c:pt idx="144">
                  <c:v>135.96973000004098</c:v>
                </c:pt>
                <c:pt idx="145">
                  <c:v>135.96973000004098</c:v>
                </c:pt>
                <c:pt idx="146">
                  <c:v>137.86115600003856</c:v>
                </c:pt>
                <c:pt idx="147">
                  <c:v>137.86115600003856</c:v>
                </c:pt>
                <c:pt idx="148">
                  <c:v>139.75258200003611</c:v>
                </c:pt>
                <c:pt idx="149">
                  <c:v>139.75258200003611</c:v>
                </c:pt>
                <c:pt idx="150">
                  <c:v>141.64400800003369</c:v>
                </c:pt>
                <c:pt idx="151">
                  <c:v>141.64400800003369</c:v>
                </c:pt>
                <c:pt idx="152">
                  <c:v>143.52917100003125</c:v>
                </c:pt>
                <c:pt idx="153">
                  <c:v>143.52917100003125</c:v>
                </c:pt>
                <c:pt idx="154">
                  <c:v>145.42059700002883</c:v>
                </c:pt>
                <c:pt idx="155">
                  <c:v>145.42059700002883</c:v>
                </c:pt>
                <c:pt idx="156">
                  <c:v>147.30576000002642</c:v>
                </c:pt>
                <c:pt idx="157">
                  <c:v>147.30576000002642</c:v>
                </c:pt>
                <c:pt idx="158">
                  <c:v>149.184660000024</c:v>
                </c:pt>
                <c:pt idx="159">
                  <c:v>149.184660000024</c:v>
                </c:pt>
                <c:pt idx="160">
                  <c:v>151.07608600002158</c:v>
                </c:pt>
                <c:pt idx="161">
                  <c:v>151.07608600002158</c:v>
                </c:pt>
                <c:pt idx="162">
                  <c:v>152.95498600001915</c:v>
                </c:pt>
                <c:pt idx="163">
                  <c:v>152.95498600001915</c:v>
                </c:pt>
                <c:pt idx="164">
                  <c:v>154.8464120000167</c:v>
                </c:pt>
                <c:pt idx="165">
                  <c:v>154.8464120000167</c:v>
                </c:pt>
                <c:pt idx="166">
                  <c:v>156.7253120000143</c:v>
                </c:pt>
                <c:pt idx="167">
                  <c:v>156.7253120000143</c:v>
                </c:pt>
                <c:pt idx="168">
                  <c:v>158.60421200001187</c:v>
                </c:pt>
                <c:pt idx="169">
                  <c:v>158.60421200001187</c:v>
                </c:pt>
                <c:pt idx="170">
                  <c:v>160.48311200000947</c:v>
                </c:pt>
                <c:pt idx="171">
                  <c:v>160.48311200000947</c:v>
                </c:pt>
                <c:pt idx="172">
                  <c:v>162.37453800000702</c:v>
                </c:pt>
                <c:pt idx="173">
                  <c:v>162.37453800000702</c:v>
                </c:pt>
                <c:pt idx="174">
                  <c:v>164.2659640000046</c:v>
                </c:pt>
                <c:pt idx="175">
                  <c:v>164.2659640000046</c:v>
                </c:pt>
                <c:pt idx="176">
                  <c:v>166.14486400000217</c:v>
                </c:pt>
                <c:pt idx="177">
                  <c:v>166.14486400000217</c:v>
                </c:pt>
                <c:pt idx="178">
                  <c:v>168.03628999999975</c:v>
                </c:pt>
                <c:pt idx="179">
                  <c:v>168.03628999999975</c:v>
                </c:pt>
                <c:pt idx="180">
                  <c:v>169.9277159999973</c:v>
                </c:pt>
                <c:pt idx="181">
                  <c:v>169.9277159999973</c:v>
                </c:pt>
                <c:pt idx="182">
                  <c:v>171.8066159999949</c:v>
                </c:pt>
                <c:pt idx="183">
                  <c:v>171.8066159999949</c:v>
                </c:pt>
                <c:pt idx="184">
                  <c:v>173.69804199999245</c:v>
                </c:pt>
                <c:pt idx="185">
                  <c:v>173.69804199999245</c:v>
                </c:pt>
                <c:pt idx="186">
                  <c:v>175.58946799999003</c:v>
                </c:pt>
                <c:pt idx="187">
                  <c:v>175.58946799999003</c:v>
                </c:pt>
                <c:pt idx="188">
                  <c:v>177.48089399998759</c:v>
                </c:pt>
                <c:pt idx="189">
                  <c:v>177.48089399998759</c:v>
                </c:pt>
                <c:pt idx="190">
                  <c:v>179.36605699998518</c:v>
                </c:pt>
                <c:pt idx="191">
                  <c:v>179.36605699998518</c:v>
                </c:pt>
                <c:pt idx="192">
                  <c:v>181.25748299998276</c:v>
                </c:pt>
                <c:pt idx="193">
                  <c:v>181.25748299998276</c:v>
                </c:pt>
                <c:pt idx="194">
                  <c:v>183.14890899998031</c:v>
                </c:pt>
                <c:pt idx="195">
                  <c:v>183.14890899998031</c:v>
                </c:pt>
                <c:pt idx="196">
                  <c:v>185.0340719999779</c:v>
                </c:pt>
                <c:pt idx="197">
                  <c:v>185.0340719999779</c:v>
                </c:pt>
                <c:pt idx="198">
                  <c:v>186.92549799997545</c:v>
                </c:pt>
                <c:pt idx="199">
                  <c:v>186.92549799997545</c:v>
                </c:pt>
                <c:pt idx="200">
                  <c:v>188.81066099997304</c:v>
                </c:pt>
                <c:pt idx="201">
                  <c:v>188.81066099997304</c:v>
                </c:pt>
                <c:pt idx="202">
                  <c:v>190.6958239999706</c:v>
                </c:pt>
                <c:pt idx="203">
                  <c:v>190.6958239999706</c:v>
                </c:pt>
                <c:pt idx="204">
                  <c:v>192.5747239999682</c:v>
                </c:pt>
                <c:pt idx="205">
                  <c:v>192.5747239999682</c:v>
                </c:pt>
                <c:pt idx="206">
                  <c:v>194.45988699996576</c:v>
                </c:pt>
                <c:pt idx="207">
                  <c:v>194.45988699996576</c:v>
                </c:pt>
                <c:pt idx="208">
                  <c:v>196.33878699996336</c:v>
                </c:pt>
                <c:pt idx="209">
                  <c:v>196.33878699996336</c:v>
                </c:pt>
                <c:pt idx="210">
                  <c:v>198.23021299996091</c:v>
                </c:pt>
                <c:pt idx="211">
                  <c:v>198.23021299996091</c:v>
                </c:pt>
                <c:pt idx="212">
                  <c:v>200.1153759999585</c:v>
                </c:pt>
                <c:pt idx="213">
                  <c:v>200.1153759999585</c:v>
                </c:pt>
                <c:pt idx="214">
                  <c:v>202.00680199995605</c:v>
                </c:pt>
                <c:pt idx="215">
                  <c:v>202.00680199995605</c:v>
                </c:pt>
                <c:pt idx="216">
                  <c:v>203.89822799995363</c:v>
                </c:pt>
                <c:pt idx="217">
                  <c:v>203.89822799995363</c:v>
                </c:pt>
                <c:pt idx="218">
                  <c:v>205.78339099995119</c:v>
                </c:pt>
                <c:pt idx="219">
                  <c:v>205.78339099995119</c:v>
                </c:pt>
                <c:pt idx="220">
                  <c:v>207.66855399994878</c:v>
                </c:pt>
                <c:pt idx="221">
                  <c:v>207.66855399994878</c:v>
                </c:pt>
                <c:pt idx="222">
                  <c:v>209.55371699994635</c:v>
                </c:pt>
                <c:pt idx="223">
                  <c:v>209.55371699994635</c:v>
                </c:pt>
                <c:pt idx="224">
                  <c:v>211.43887999994394</c:v>
                </c:pt>
                <c:pt idx="225">
                  <c:v>211.43887999994394</c:v>
                </c:pt>
                <c:pt idx="226">
                  <c:v>213.3240429999415</c:v>
                </c:pt>
                <c:pt idx="227">
                  <c:v>213.3240429999415</c:v>
                </c:pt>
                <c:pt idx="228">
                  <c:v>215.2029429999391</c:v>
                </c:pt>
                <c:pt idx="229">
                  <c:v>215.2029429999391</c:v>
                </c:pt>
                <c:pt idx="230">
                  <c:v>217.09436899993665</c:v>
                </c:pt>
                <c:pt idx="231">
                  <c:v>217.09436899993665</c:v>
                </c:pt>
                <c:pt idx="232">
                  <c:v>218.98579499993423</c:v>
                </c:pt>
                <c:pt idx="233">
                  <c:v>218.98579499993423</c:v>
                </c:pt>
                <c:pt idx="234">
                  <c:v>220.87095799993179</c:v>
                </c:pt>
                <c:pt idx="235">
                  <c:v>220.87095799993179</c:v>
                </c:pt>
                <c:pt idx="236">
                  <c:v>222.75612099992938</c:v>
                </c:pt>
                <c:pt idx="237">
                  <c:v>222.75612099992938</c:v>
                </c:pt>
                <c:pt idx="238">
                  <c:v>224.64128399992694</c:v>
                </c:pt>
                <c:pt idx="239">
                  <c:v>224.64128399992694</c:v>
                </c:pt>
                <c:pt idx="240">
                  <c:v>226.53270999992452</c:v>
                </c:pt>
                <c:pt idx="241">
                  <c:v>226.53270999992452</c:v>
                </c:pt>
                <c:pt idx="242">
                  <c:v>228.42413599992207</c:v>
                </c:pt>
                <c:pt idx="243">
                  <c:v>228.42413599992207</c:v>
                </c:pt>
                <c:pt idx="244">
                  <c:v>230.30929899992211</c:v>
                </c:pt>
                <c:pt idx="245">
                  <c:v>230.30929899992211</c:v>
                </c:pt>
                <c:pt idx="246">
                  <c:v>232.19446199992382</c:v>
                </c:pt>
                <c:pt idx="247">
                  <c:v>232.19446199992382</c:v>
                </c:pt>
                <c:pt idx="248">
                  <c:v>234.07336199992565</c:v>
                </c:pt>
                <c:pt idx="249">
                  <c:v>234.07336199992565</c:v>
                </c:pt>
                <c:pt idx="250">
                  <c:v>235.96478799992752</c:v>
                </c:pt>
                <c:pt idx="251">
                  <c:v>235.96478799992752</c:v>
                </c:pt>
                <c:pt idx="252">
                  <c:v>237.84368799992936</c:v>
                </c:pt>
                <c:pt idx="253">
                  <c:v>237.84368799992936</c:v>
                </c:pt>
                <c:pt idx="254">
                  <c:v>239.72885099993115</c:v>
                </c:pt>
                <c:pt idx="255">
                  <c:v>239.72885099993115</c:v>
                </c:pt>
                <c:pt idx="256">
                  <c:v>241.60775099993299</c:v>
                </c:pt>
                <c:pt idx="257">
                  <c:v>241.60775099993299</c:v>
                </c:pt>
                <c:pt idx="258">
                  <c:v>243.48665099993485</c:v>
                </c:pt>
                <c:pt idx="259">
                  <c:v>243.48665099993485</c:v>
                </c:pt>
                <c:pt idx="260">
                  <c:v>245.37807699993664</c:v>
                </c:pt>
                <c:pt idx="261">
                  <c:v>245.37807699993664</c:v>
                </c:pt>
                <c:pt idx="262">
                  <c:v>247.26950299993851</c:v>
                </c:pt>
                <c:pt idx="263">
                  <c:v>247.26950299993851</c:v>
                </c:pt>
                <c:pt idx="264">
                  <c:v>249.15466599994036</c:v>
                </c:pt>
                <c:pt idx="265">
                  <c:v>249.15466599994036</c:v>
                </c:pt>
                <c:pt idx="266">
                  <c:v>251.03982899994216</c:v>
                </c:pt>
                <c:pt idx="267">
                  <c:v>251.03982899994216</c:v>
                </c:pt>
                <c:pt idx="268">
                  <c:v>252.931254999944</c:v>
                </c:pt>
                <c:pt idx="269">
                  <c:v>252.931254999944</c:v>
                </c:pt>
                <c:pt idx="270">
                  <c:v>254.82268099994587</c:v>
                </c:pt>
                <c:pt idx="271">
                  <c:v>254.82268099994587</c:v>
                </c:pt>
                <c:pt idx="272">
                  <c:v>256.71410699994607</c:v>
                </c:pt>
                <c:pt idx="273">
                  <c:v>256.71410699994607</c:v>
                </c:pt>
                <c:pt idx="274">
                  <c:v>258.59926999994366</c:v>
                </c:pt>
                <c:pt idx="275">
                  <c:v>258.59926999994366</c:v>
                </c:pt>
                <c:pt idx="276">
                  <c:v>260.49069599994124</c:v>
                </c:pt>
                <c:pt idx="277">
                  <c:v>260.49069599994124</c:v>
                </c:pt>
                <c:pt idx="278">
                  <c:v>262.38212199993882</c:v>
                </c:pt>
                <c:pt idx="279">
                  <c:v>262.38212199993882</c:v>
                </c:pt>
                <c:pt idx="280">
                  <c:v>264.27354799993634</c:v>
                </c:pt>
                <c:pt idx="281">
                  <c:v>264.27354799993634</c:v>
                </c:pt>
                <c:pt idx="282">
                  <c:v>266.15871099993393</c:v>
                </c:pt>
                <c:pt idx="283">
                  <c:v>266.15871099993393</c:v>
                </c:pt>
                <c:pt idx="284">
                  <c:v>268.04387399993152</c:v>
                </c:pt>
                <c:pt idx="285">
                  <c:v>268.04387399993152</c:v>
                </c:pt>
                <c:pt idx="286">
                  <c:v>269.92903699992911</c:v>
                </c:pt>
                <c:pt idx="287">
                  <c:v>269.92903699992911</c:v>
                </c:pt>
                <c:pt idx="288">
                  <c:v>271.81419999992664</c:v>
                </c:pt>
                <c:pt idx="289">
                  <c:v>271.81419999992664</c:v>
                </c:pt>
                <c:pt idx="290">
                  <c:v>273.70562599992422</c:v>
                </c:pt>
                <c:pt idx="291">
                  <c:v>273.70562599992422</c:v>
                </c:pt>
                <c:pt idx="292">
                  <c:v>275.59078899992181</c:v>
                </c:pt>
                <c:pt idx="293">
                  <c:v>275.59078899992181</c:v>
                </c:pt>
                <c:pt idx="294">
                  <c:v>277.4759519999194</c:v>
                </c:pt>
                <c:pt idx="295">
                  <c:v>277.4759519999194</c:v>
                </c:pt>
                <c:pt idx="296">
                  <c:v>279.36111499991694</c:v>
                </c:pt>
                <c:pt idx="297">
                  <c:v>279.36111499991694</c:v>
                </c:pt>
                <c:pt idx="298">
                  <c:v>281.24627799991453</c:v>
                </c:pt>
                <c:pt idx="299">
                  <c:v>281.24627799991453</c:v>
                </c:pt>
                <c:pt idx="300">
                  <c:v>283.13770399991211</c:v>
                </c:pt>
                <c:pt idx="301">
                  <c:v>283.13770399991211</c:v>
                </c:pt>
                <c:pt idx="302">
                  <c:v>285.01660399990971</c:v>
                </c:pt>
                <c:pt idx="303">
                  <c:v>285.01660399990971</c:v>
                </c:pt>
                <c:pt idx="304">
                  <c:v>286.90802999990723</c:v>
                </c:pt>
                <c:pt idx="305">
                  <c:v>286.90802999990723</c:v>
                </c:pt>
                <c:pt idx="306">
                  <c:v>288.79319299990482</c:v>
                </c:pt>
                <c:pt idx="307">
                  <c:v>288.79319299990482</c:v>
                </c:pt>
                <c:pt idx="308">
                  <c:v>290.67835599990241</c:v>
                </c:pt>
                <c:pt idx="309">
                  <c:v>290.67835599990241</c:v>
                </c:pt>
                <c:pt idx="310">
                  <c:v>292.55725599990001</c:v>
                </c:pt>
                <c:pt idx="311">
                  <c:v>292.55725599990001</c:v>
                </c:pt>
                <c:pt idx="312">
                  <c:v>294.44868199989753</c:v>
                </c:pt>
                <c:pt idx="313">
                  <c:v>294.44868199989753</c:v>
                </c:pt>
                <c:pt idx="314">
                  <c:v>296.33384499989512</c:v>
                </c:pt>
                <c:pt idx="315">
                  <c:v>296.33384499989512</c:v>
                </c:pt>
                <c:pt idx="316">
                  <c:v>298.21900799989271</c:v>
                </c:pt>
                <c:pt idx="317">
                  <c:v>298.21900799989271</c:v>
                </c:pt>
                <c:pt idx="318">
                  <c:v>300.1041709998903</c:v>
                </c:pt>
                <c:pt idx="319">
                  <c:v>300.1041709998903</c:v>
                </c:pt>
                <c:pt idx="320">
                  <c:v>301.99559699988788</c:v>
                </c:pt>
                <c:pt idx="321">
                  <c:v>301.99559699988788</c:v>
                </c:pt>
                <c:pt idx="322">
                  <c:v>303.8870229998854</c:v>
                </c:pt>
                <c:pt idx="323">
                  <c:v>303.8870229998854</c:v>
                </c:pt>
                <c:pt idx="324">
                  <c:v>305.77844899988298</c:v>
                </c:pt>
                <c:pt idx="325">
                  <c:v>305.77844899988298</c:v>
                </c:pt>
                <c:pt idx="326">
                  <c:v>307.66987499988056</c:v>
                </c:pt>
                <c:pt idx="327">
                  <c:v>307.66987499988056</c:v>
                </c:pt>
                <c:pt idx="328">
                  <c:v>309.55503799987815</c:v>
                </c:pt>
                <c:pt idx="329">
                  <c:v>309.55503799987815</c:v>
                </c:pt>
                <c:pt idx="330">
                  <c:v>311.44020099987569</c:v>
                </c:pt>
                <c:pt idx="331">
                  <c:v>311.44020099987569</c:v>
                </c:pt>
                <c:pt idx="332">
                  <c:v>313.32536399987328</c:v>
                </c:pt>
                <c:pt idx="333">
                  <c:v>313.32536399987328</c:v>
                </c:pt>
                <c:pt idx="334">
                  <c:v>315.21052699987086</c:v>
                </c:pt>
                <c:pt idx="335">
                  <c:v>315.21052699987086</c:v>
                </c:pt>
                <c:pt idx="336">
                  <c:v>317.10195299986844</c:v>
                </c:pt>
                <c:pt idx="337">
                  <c:v>317.10195299986844</c:v>
                </c:pt>
                <c:pt idx="338">
                  <c:v>318.98711599986598</c:v>
                </c:pt>
                <c:pt idx="339">
                  <c:v>318.98711599986598</c:v>
                </c:pt>
                <c:pt idx="340">
                  <c:v>320.87227899986357</c:v>
                </c:pt>
                <c:pt idx="341">
                  <c:v>320.87227899986357</c:v>
                </c:pt>
                <c:pt idx="342">
                  <c:v>322.75744199986116</c:v>
                </c:pt>
                <c:pt idx="343">
                  <c:v>322.75744199986116</c:v>
                </c:pt>
                <c:pt idx="344">
                  <c:v>324.64260499985875</c:v>
                </c:pt>
                <c:pt idx="345">
                  <c:v>324.64260499985875</c:v>
                </c:pt>
                <c:pt idx="346">
                  <c:v>326.52776799985628</c:v>
                </c:pt>
                <c:pt idx="347">
                  <c:v>326.52776799985628</c:v>
                </c:pt>
                <c:pt idx="348">
                  <c:v>328.41919399985386</c:v>
                </c:pt>
                <c:pt idx="349">
                  <c:v>328.41919399985386</c:v>
                </c:pt>
                <c:pt idx="350">
                  <c:v>330.31061999985144</c:v>
                </c:pt>
                <c:pt idx="351">
                  <c:v>330.31061999985144</c:v>
                </c:pt>
                <c:pt idx="352">
                  <c:v>332.20204599984902</c:v>
                </c:pt>
                <c:pt idx="353">
                  <c:v>332.20204599984902</c:v>
                </c:pt>
                <c:pt idx="354">
                  <c:v>334.09347199984654</c:v>
                </c:pt>
                <c:pt idx="355">
                  <c:v>334.09347199984654</c:v>
                </c:pt>
                <c:pt idx="356">
                  <c:v>335.97863499984413</c:v>
                </c:pt>
                <c:pt idx="357">
                  <c:v>335.97863499984413</c:v>
                </c:pt>
                <c:pt idx="358">
                  <c:v>337.86379799984172</c:v>
                </c:pt>
                <c:pt idx="359">
                  <c:v>337.86379799984172</c:v>
                </c:pt>
                <c:pt idx="360">
                  <c:v>339.74896099983931</c:v>
                </c:pt>
                <c:pt idx="361">
                  <c:v>339.74896099983931</c:v>
                </c:pt>
                <c:pt idx="362">
                  <c:v>341.63412399983685</c:v>
                </c:pt>
                <c:pt idx="363">
                  <c:v>341.63412399983685</c:v>
                </c:pt>
                <c:pt idx="364">
                  <c:v>343.52554999983442</c:v>
                </c:pt>
                <c:pt idx="365">
                  <c:v>343.52554999983442</c:v>
                </c:pt>
                <c:pt idx="366">
                  <c:v>345.416975999832</c:v>
                </c:pt>
                <c:pt idx="367">
                  <c:v>345.416975999832</c:v>
                </c:pt>
                <c:pt idx="368">
                  <c:v>347.30840199982958</c:v>
                </c:pt>
                <c:pt idx="369">
                  <c:v>347.30840199982958</c:v>
                </c:pt>
                <c:pt idx="370">
                  <c:v>349.19356499982717</c:v>
                </c:pt>
                <c:pt idx="371">
                  <c:v>349.19356499982717</c:v>
                </c:pt>
                <c:pt idx="372">
                  <c:v>351.07872799982471</c:v>
                </c:pt>
                <c:pt idx="373">
                  <c:v>351.07872799982471</c:v>
                </c:pt>
                <c:pt idx="374">
                  <c:v>352.9638909998223</c:v>
                </c:pt>
                <c:pt idx="375">
                  <c:v>352.9638909998223</c:v>
                </c:pt>
                <c:pt idx="376">
                  <c:v>354.84905399981989</c:v>
                </c:pt>
                <c:pt idx="377">
                  <c:v>354.84905399981989</c:v>
                </c:pt>
                <c:pt idx="378">
                  <c:v>356.73421699981748</c:v>
                </c:pt>
                <c:pt idx="379">
                  <c:v>356.73421699981748</c:v>
                </c:pt>
                <c:pt idx="380">
                  <c:v>358.61937999981501</c:v>
                </c:pt>
                <c:pt idx="381">
                  <c:v>358.61937999981501</c:v>
                </c:pt>
              </c:numCache>
            </c:numRef>
          </c:xVal>
          <c:yVal>
            <c:numRef>
              <c:f>DTDRpat_result0!$O$2:$O$427</c:f>
              <c:numCache>
                <c:formatCode>General</c:formatCode>
                <c:ptCount val="426"/>
                <c:pt idx="0">
                  <c:v>1.0364912578066909</c:v>
                </c:pt>
                <c:pt idx="1">
                  <c:v>1.0364930358908084</c:v>
                </c:pt>
                <c:pt idx="2">
                  <c:v>1.0360700658489905</c:v>
                </c:pt>
                <c:pt idx="3">
                  <c:v>1.0371402379857686</c:v>
                </c:pt>
                <c:pt idx="4">
                  <c:v>1.0358743784354421</c:v>
                </c:pt>
                <c:pt idx="5">
                  <c:v>1.0380238307433103</c:v>
                </c:pt>
                <c:pt idx="6">
                  <c:v>1.0359098749757607</c:v>
                </c:pt>
                <c:pt idx="7">
                  <c:v>1.0391179538103315</c:v>
                </c:pt>
                <c:pt idx="8">
                  <c:v>1.0361761674138823</c:v>
                </c:pt>
                <c:pt idx="9">
                  <c:v>1.0404435726701098</c:v>
                </c:pt>
                <c:pt idx="10">
                  <c:v>1.0366691796364249</c:v>
                </c:pt>
                <c:pt idx="11">
                  <c:v>1.0419758410337552</c:v>
                </c:pt>
                <c:pt idx="12">
                  <c:v>1.0373856239178083</c:v>
                </c:pt>
                <c:pt idx="13">
                  <c:v>1.04371191278127</c:v>
                </c:pt>
                <c:pt idx="14">
                  <c:v>1.0383247062880163</c:v>
                </c:pt>
                <c:pt idx="15">
                  <c:v>1.0456509957700175</c:v>
                </c:pt>
                <c:pt idx="16">
                  <c:v>1.0394962047424534</c:v>
                </c:pt>
                <c:pt idx="17">
                  <c:v>1.0478093611158861</c:v>
                </c:pt>
                <c:pt idx="18">
                  <c:v>1.0408782583256038</c:v>
                </c:pt>
                <c:pt idx="19">
                  <c:v>1.0501453250509518</c:v>
                </c:pt>
                <c:pt idx="20">
                  <c:v>1.0425132567676714</c:v>
                </c:pt>
                <c:pt idx="21">
                  <c:v>1.0527255826262114</c:v>
                </c:pt>
                <c:pt idx="22">
                  <c:v>1.0443471997177136</c:v>
                </c:pt>
                <c:pt idx="23">
                  <c:v>1.0554611973230257</c:v>
                </c:pt>
                <c:pt idx="24">
                  <c:v>1.0463818846463524</c:v>
                </c:pt>
                <c:pt idx="25">
                  <c:v>1.0583570801688083</c:v>
                </c:pt>
                <c:pt idx="26">
                  <c:v>1.0486087317428938</c:v>
                </c:pt>
                <c:pt idx="27">
                  <c:v>1.0614013757698644</c:v>
                </c:pt>
                <c:pt idx="28">
                  <c:v>1.0510266885972837</c:v>
                </c:pt>
                <c:pt idx="29">
                  <c:v>1.0645925084995465</c:v>
                </c:pt>
                <c:pt idx="30">
                  <c:v>1.053601025882523</c:v>
                </c:pt>
                <c:pt idx="31">
                  <c:v>1.067885185905761</c:v>
                </c:pt>
                <c:pt idx="32">
                  <c:v>1.0563651151598308</c:v>
                </c:pt>
                <c:pt idx="33">
                  <c:v>1.0713215209198903</c:v>
                </c:pt>
                <c:pt idx="34">
                  <c:v>1.059292726195302</c:v>
                </c:pt>
                <c:pt idx="35">
                  <c:v>1.0748669700748861</c:v>
                </c:pt>
                <c:pt idx="36">
                  <c:v>1.0623737079370164</c:v>
                </c:pt>
                <c:pt idx="37">
                  <c:v>1.0785079088978322</c:v>
                </c:pt>
                <c:pt idx="38">
                  <c:v>1.0655752338897364</c:v>
                </c:pt>
                <c:pt idx="39">
                  <c:v>1.0822051394044137</c:v>
                </c:pt>
                <c:pt idx="40">
                  <c:v>1.0689056830814385</c:v>
                </c:pt>
                <c:pt idx="41">
                  <c:v>1.0859677682033451</c:v>
                </c:pt>
                <c:pt idx="42">
                  <c:v>1.0723761640177025</c:v>
                </c:pt>
                <c:pt idx="43">
                  <c:v>1.0898061712362188</c:v>
                </c:pt>
                <c:pt idx="44">
                  <c:v>1.0759518076939767</c:v>
                </c:pt>
                <c:pt idx="45">
                  <c:v>1.0936792915324052</c:v>
                </c:pt>
                <c:pt idx="46">
                  <c:v>1.0796186944097708</c:v>
                </c:pt>
                <c:pt idx="47">
                  <c:v>1.0975705266652467</c:v>
                </c:pt>
                <c:pt idx="48">
                  <c:v>1.0833372729943969</c:v>
                </c:pt>
                <c:pt idx="49">
                  <c:v>1.1014371286934046</c:v>
                </c:pt>
                <c:pt idx="50">
                  <c:v>1.0871421030509207</c:v>
                </c:pt>
                <c:pt idx="51">
                  <c:v>1.105313326886451</c:v>
                </c:pt>
                <c:pt idx="52">
                  <c:v>1.0909672868288709</c:v>
                </c:pt>
                <c:pt idx="53">
                  <c:v>1.1091303151444218</c:v>
                </c:pt>
                <c:pt idx="54">
                  <c:v>1.0948604946000662</c:v>
                </c:pt>
                <c:pt idx="55">
                  <c:v>1.1129336139610582</c:v>
                </c:pt>
                <c:pt idx="56">
                  <c:v>1.0987281154752202</c:v>
                </c:pt>
                <c:pt idx="57">
                  <c:v>1.1166301251972532</c:v>
                </c:pt>
                <c:pt idx="58">
                  <c:v>1.1026174418450576</c:v>
                </c:pt>
                <c:pt idx="59">
                  <c:v>1.1202638286277866</c:v>
                </c:pt>
                <c:pt idx="60">
                  <c:v>1.1064724577733263</c:v>
                </c:pt>
                <c:pt idx="61">
                  <c:v>1.1237803858299702</c:v>
                </c:pt>
                <c:pt idx="62">
                  <c:v>1.1102758616255848</c:v>
                </c:pt>
                <c:pt idx="63">
                  <c:v>1.1271633805710222</c:v>
                </c:pt>
                <c:pt idx="64">
                  <c:v>1.1140600523392832</c:v>
                </c:pt>
                <c:pt idx="65">
                  <c:v>1.1304393017716965</c:v>
                </c:pt>
                <c:pt idx="66">
                  <c:v>1.1177322180074145</c:v>
                </c:pt>
                <c:pt idx="67">
                  <c:v>1.1335264843971544</c:v>
                </c:pt>
                <c:pt idx="68">
                  <c:v>1.1213360438128745</c:v>
                </c:pt>
                <c:pt idx="69">
                  <c:v>1.1364607958454587</c:v>
                </c:pt>
                <c:pt idx="70">
                  <c:v>1.1248174968628268</c:v>
                </c:pt>
                <c:pt idx="71">
                  <c:v>1.1391966975891397</c:v>
                </c:pt>
                <c:pt idx="72">
                  <c:v>1.1281821187444101</c:v>
                </c:pt>
                <c:pt idx="73">
                  <c:v>1.1417374635134767</c:v>
                </c:pt>
                <c:pt idx="74">
                  <c:v>1.1314008464229537</c:v>
                </c:pt>
                <c:pt idx="75">
                  <c:v>1.1440597354753825</c:v>
                </c:pt>
                <c:pt idx="76">
                  <c:v>1.1344371951541485</c:v>
                </c:pt>
                <c:pt idx="77">
                  <c:v>1.1461375158558627</c:v>
                </c:pt>
                <c:pt idx="78">
                  <c:v>1.137297067380403</c:v>
                </c:pt>
                <c:pt idx="79">
                  <c:v>1.1479754107344955</c:v>
                </c:pt>
                <c:pt idx="80">
                  <c:v>1.1399909848178074</c:v>
                </c:pt>
                <c:pt idx="81">
                  <c:v>1.1495777094142112</c:v>
                </c:pt>
                <c:pt idx="82">
                  <c:v>1.1424511068977383</c:v>
                </c:pt>
                <c:pt idx="83">
                  <c:v>1.1509036850048877</c:v>
                </c:pt>
                <c:pt idx="84">
                  <c:v>1.1447058942042156</c:v>
                </c:pt>
                <c:pt idx="85">
                  <c:v>1.1519690758960976</c:v>
                </c:pt>
                <c:pt idx="86">
                  <c:v>1.1467256350761987</c:v>
                </c:pt>
                <c:pt idx="87">
                  <c:v>1.152758000831607</c:v>
                </c:pt>
                <c:pt idx="88">
                  <c:v>1.1484989642052028</c:v>
                </c:pt>
                <c:pt idx="89">
                  <c:v>1.1532658672431502</c:v>
                </c:pt>
                <c:pt idx="90">
                  <c:v>1.1500066033333696</c:v>
                </c:pt>
                <c:pt idx="91">
                  <c:v>1.1534891867861887</c:v>
                </c:pt>
                <c:pt idx="92">
                  <c:v>1.1512526050882057</c:v>
                </c:pt>
                <c:pt idx="93">
                  <c:v>1.1534309642327303</c:v>
                </c:pt>
                <c:pt idx="94">
                  <c:v>1.1522354768590415</c:v>
                </c:pt>
                <c:pt idx="95">
                  <c:v>1.1530883551162188</c:v>
                </c:pt>
                <c:pt idx="96">
                  <c:v>1.1529403304302956</c:v>
                </c:pt>
                <c:pt idx="97">
                  <c:v>1.152462724231625</c:v>
                </c:pt>
                <c:pt idx="98">
                  <c:v>1.1533631031917169</c:v>
                </c:pt>
                <c:pt idx="99">
                  <c:v>1.1515578137948188</c:v>
                </c:pt>
                <c:pt idx="100">
                  <c:v>1.1535013044849518</c:v>
                </c:pt>
                <c:pt idx="101">
                  <c:v>1.1503874797297036</c:v>
                </c:pt>
                <c:pt idx="102">
                  <c:v>1.1533579051601175</c:v>
                </c:pt>
                <c:pt idx="103">
                  <c:v>1.1489533460016181</c:v>
                </c:pt>
                <c:pt idx="104">
                  <c:v>1.152928052761979</c:v>
                </c:pt>
                <c:pt idx="105">
                  <c:v>1.1472454041150271</c:v>
                </c:pt>
                <c:pt idx="106">
                  <c:v>1.152217121307981</c:v>
                </c:pt>
                <c:pt idx="107">
                  <c:v>1.1452932848144126</c:v>
                </c:pt>
                <c:pt idx="108">
                  <c:v>1.1512357190045712</c:v>
                </c:pt>
                <c:pt idx="109">
                  <c:v>1.1431181046133241</c:v>
                </c:pt>
                <c:pt idx="110">
                  <c:v>1.1499857117624297</c:v>
                </c:pt>
                <c:pt idx="111">
                  <c:v>1.1407197553999153</c:v>
                </c:pt>
                <c:pt idx="112">
                  <c:v>1.1484741687731315</c:v>
                </c:pt>
                <c:pt idx="113">
                  <c:v>1.1381112929984638</c:v>
                </c:pt>
                <c:pt idx="114">
                  <c:v>1.1466907611357309</c:v>
                </c:pt>
                <c:pt idx="115">
                  <c:v>1.1352778715613236</c:v>
                </c:pt>
                <c:pt idx="116">
                  <c:v>1.1446666135432979</c:v>
                </c:pt>
                <c:pt idx="117">
                  <c:v>1.1322701636082553</c:v>
                </c:pt>
                <c:pt idx="118">
                  <c:v>1.1424076378858241</c:v>
                </c:pt>
                <c:pt idx="119">
                  <c:v>1.1290951736155441</c:v>
                </c:pt>
                <c:pt idx="120">
                  <c:v>1.1399264337234272</c:v>
                </c:pt>
                <c:pt idx="121">
                  <c:v>1.1257694941928031</c:v>
                </c:pt>
                <c:pt idx="122">
                  <c:v>1.1372551585827013</c:v>
                </c:pt>
                <c:pt idx="123">
                  <c:v>1.1223336894221487</c:v>
                </c:pt>
                <c:pt idx="124">
                  <c:v>1.134392499083948</c:v>
                </c:pt>
                <c:pt idx="125">
                  <c:v>1.118783400506622</c:v>
                </c:pt>
                <c:pt idx="126">
                  <c:v>1.131353596719026</c:v>
                </c:pt>
                <c:pt idx="127">
                  <c:v>1.1151361119119845</c:v>
                </c:pt>
                <c:pt idx="128">
                  <c:v>1.1281434830475012</c:v>
                </c:pt>
                <c:pt idx="129">
                  <c:v>1.1113969222730826</c:v>
                </c:pt>
                <c:pt idx="130">
                  <c:v>1.1247658940104184</c:v>
                </c:pt>
                <c:pt idx="131">
                  <c:v>1.1075703037266316</c:v>
                </c:pt>
                <c:pt idx="132">
                  <c:v>1.1212708742291673</c:v>
                </c:pt>
                <c:pt idx="133">
                  <c:v>1.1037118195021345</c:v>
                </c:pt>
                <c:pt idx="134">
                  <c:v>1.1176651496106593</c:v>
                </c:pt>
                <c:pt idx="135">
                  <c:v>1.0998267669782769</c:v>
                </c:pt>
                <c:pt idx="136">
                  <c:v>1.113966701044669</c:v>
                </c:pt>
                <c:pt idx="137">
                  <c:v>1.0959327844112179</c:v>
                </c:pt>
                <c:pt idx="138">
                  <c:v>1.1101934524888624</c:v>
                </c:pt>
                <c:pt idx="139">
                  <c:v>1.0920471101881246</c:v>
                </c:pt>
                <c:pt idx="140">
                  <c:v>1.1063635143942907</c:v>
                </c:pt>
                <c:pt idx="141">
                  <c:v>1.088186616563628</c:v>
                </c:pt>
                <c:pt idx="142">
                  <c:v>1.1025076543170567</c:v>
                </c:pt>
                <c:pt idx="143">
                  <c:v>1.0843802503896729</c:v>
                </c:pt>
                <c:pt idx="144">
                  <c:v>1.0986437487624021</c:v>
                </c:pt>
                <c:pt idx="145">
                  <c:v>1.0806432443393765</c:v>
                </c:pt>
                <c:pt idx="146">
                  <c:v>1.094750497077968</c:v>
                </c:pt>
                <c:pt idx="147">
                  <c:v>1.0769537647513137</c:v>
                </c:pt>
                <c:pt idx="148">
                  <c:v>1.0908706871996035</c:v>
                </c:pt>
                <c:pt idx="149">
                  <c:v>1.0733515974776491</c:v>
                </c:pt>
                <c:pt idx="150">
                  <c:v>1.0870211111022665</c:v>
                </c:pt>
                <c:pt idx="151">
                  <c:v>1.0698507622891813</c:v>
                </c:pt>
                <c:pt idx="152">
                  <c:v>1.0832304714951899</c:v>
                </c:pt>
                <c:pt idx="153">
                  <c:v>1.0664756803307727</c:v>
                </c:pt>
                <c:pt idx="154">
                  <c:v>1.0794893205611253</c:v>
                </c:pt>
                <c:pt idx="155">
                  <c:v>1.0632164805806816</c:v>
                </c:pt>
                <c:pt idx="156">
                  <c:v>1.0758373589014927</c:v>
                </c:pt>
                <c:pt idx="157">
                  <c:v>1.0601066978953335</c:v>
                </c:pt>
                <c:pt idx="158">
                  <c:v>1.0722881916034308</c:v>
                </c:pt>
                <c:pt idx="159">
                  <c:v>1.0571559474804681</c:v>
                </c:pt>
                <c:pt idx="160">
                  <c:v>1.0688204685210558</c:v>
                </c:pt>
                <c:pt idx="161">
                  <c:v>1.0543458210317878</c:v>
                </c:pt>
                <c:pt idx="162">
                  <c:v>1.065493087313246</c:v>
                </c:pt>
                <c:pt idx="163">
                  <c:v>1.0517231869420938</c:v>
                </c:pt>
                <c:pt idx="164">
                  <c:v>1.0622741109558085</c:v>
                </c:pt>
                <c:pt idx="165">
                  <c:v>1.0492619408752268</c:v>
                </c:pt>
                <c:pt idx="166">
                  <c:v>1.0592177334500938</c:v>
                </c:pt>
                <c:pt idx="167">
                  <c:v>1.0470028800640523</c:v>
                </c:pt>
                <c:pt idx="168">
                  <c:v>1.056312858933786</c:v>
                </c:pt>
                <c:pt idx="169">
                  <c:v>1.0449363617141147</c:v>
                </c:pt>
                <c:pt idx="170">
                  <c:v>1.0535696449961132</c:v>
                </c:pt>
                <c:pt idx="171">
                  <c:v>1.0430690117993853</c:v>
                </c:pt>
                <c:pt idx="172">
                  <c:v>1.0509807903871289</c:v>
                </c:pt>
                <c:pt idx="173">
                  <c:v>1.041396368717906</c:v>
                </c:pt>
                <c:pt idx="174">
                  <c:v>1.048573908609568</c:v>
                </c:pt>
                <c:pt idx="175">
                  <c:v>1.0399368485356693</c:v>
                </c:pt>
                <c:pt idx="176">
                  <c:v>1.0463710834953486</c:v>
                </c:pt>
                <c:pt idx="177">
                  <c:v>1.0387025192651509</c:v>
                </c:pt>
                <c:pt idx="178">
                  <c:v>1.0443501019179129</c:v>
                </c:pt>
                <c:pt idx="179">
                  <c:v>1.0376807251384701</c:v>
                </c:pt>
                <c:pt idx="180">
                  <c:v>1.042532904884071</c:v>
                </c:pt>
                <c:pt idx="181">
                  <c:v>1.0368835834927832</c:v>
                </c:pt>
                <c:pt idx="182">
                  <c:v>1.0409351290251003</c:v>
                </c:pt>
                <c:pt idx="183">
                  <c:v>1.0363166050899593</c:v>
                </c:pt>
                <c:pt idx="184">
                  <c:v>1.0395405808372646</c:v>
                </c:pt>
                <c:pt idx="185">
                  <c:v>1.0359738449870308</c:v>
                </c:pt>
                <c:pt idx="186">
                  <c:v>1.0383649304886111</c:v>
                </c:pt>
                <c:pt idx="187">
                  <c:v>1.035860949022583</c:v>
                </c:pt>
                <c:pt idx="188">
                  <c:v>1.0374118758974307</c:v>
                </c:pt>
                <c:pt idx="189">
                  <c:v>1.0359782816950716</c:v>
                </c:pt>
                <c:pt idx="190">
                  <c:v>1.0366862611815628</c:v>
                </c:pt>
                <c:pt idx="191">
                  <c:v>1.0363238900162151</c:v>
                </c:pt>
                <c:pt idx="192">
                  <c:v>1.0361856390915829</c:v>
                </c:pt>
                <c:pt idx="193">
                  <c:v>1.0368990447280027</c:v>
                </c:pt>
                <c:pt idx="194">
                  <c:v>1.0359141726325445</c:v>
                </c:pt>
                <c:pt idx="195">
                  <c:v>1.0377012671709154</c:v>
                </c:pt>
                <c:pt idx="196">
                  <c:v>1.0358724921118234</c:v>
                </c:pt>
                <c:pt idx="197">
                  <c:v>1.0387243130026353</c:v>
                </c:pt>
                <c:pt idx="198">
                  <c:v>1.0360604752407823</c:v>
                </c:pt>
                <c:pt idx="199">
                  <c:v>1.0399718114211285</c:v>
                </c:pt>
                <c:pt idx="200">
                  <c:v>1.0364762832182279</c:v>
                </c:pt>
                <c:pt idx="201">
                  <c:v>1.0414317196868774</c:v>
                </c:pt>
                <c:pt idx="202">
                  <c:v>1.0371189033854005</c:v>
                </c:pt>
                <c:pt idx="203">
                  <c:v>1.0431031885191977</c:v>
                </c:pt>
                <c:pt idx="204">
                  <c:v>1.0379831547899088</c:v>
                </c:pt>
                <c:pt idx="205">
                  <c:v>1.0449744402706131</c:v>
                </c:pt>
                <c:pt idx="206">
                  <c:v>1.0390721385949135</c:v>
                </c:pt>
                <c:pt idx="207">
                  <c:v>1.0470519746004439</c:v>
                </c:pt>
                <c:pt idx="208">
                  <c:v>1.0403753314960118</c:v>
                </c:pt>
                <c:pt idx="209">
                  <c:v>1.0493153206127501</c:v>
                </c:pt>
                <c:pt idx="210">
                  <c:v>1.0419028305626352</c:v>
                </c:pt>
                <c:pt idx="211">
                  <c:v>1.0517806851469369</c:v>
                </c:pt>
                <c:pt idx="212">
                  <c:v>1.0436357259768378</c:v>
                </c:pt>
                <c:pt idx="213">
                  <c:v>1.05441628523894</c:v>
                </c:pt>
                <c:pt idx="214">
                  <c:v>1.0455800682675951</c:v>
                </c:pt>
                <c:pt idx="215">
                  <c:v>1.0572306769265096</c:v>
                </c:pt>
                <c:pt idx="216">
                  <c:v>1.0477241579609273</c:v>
                </c:pt>
                <c:pt idx="217">
                  <c:v>1.0602056502726886</c:v>
                </c:pt>
                <c:pt idx="218">
                  <c:v>1.0500529949352708</c:v>
                </c:pt>
                <c:pt idx="219">
                  <c:v>1.0633201135355119</c:v>
                </c:pt>
                <c:pt idx="220">
                  <c:v>1.0525657009890019</c:v>
                </c:pt>
                <c:pt idx="221">
                  <c:v>1.0665725845248886</c:v>
                </c:pt>
                <c:pt idx="222">
                  <c:v>1.0552538505674522</c:v>
                </c:pt>
                <c:pt idx="223">
                  <c:v>1.0699511689469186</c:v>
                </c:pt>
                <c:pt idx="224">
                  <c:v>1.058108331591896</c:v>
                </c:pt>
                <c:pt idx="225">
                  <c:v>1.0734433922639195</c:v>
                </c:pt>
                <c:pt idx="226">
                  <c:v>1.0611193060239634</c:v>
                </c:pt>
                <c:pt idx="227">
                  <c:v>1.0770359030940306</c:v>
                </c:pt>
                <c:pt idx="228">
                  <c:v>1.0642654271728729</c:v>
                </c:pt>
                <c:pt idx="229">
                  <c:v>1.080702501553829</c:v>
                </c:pt>
                <c:pt idx="230">
                  <c:v>1.0675674850752082</c:v>
                </c:pt>
                <c:pt idx="231">
                  <c:v>1.0844656346035315</c:v>
                </c:pt>
                <c:pt idx="232">
                  <c:v>1.0709928353325349</c:v>
                </c:pt>
                <c:pt idx="233">
                  <c:v>1.0882858314096127</c:v>
                </c:pt>
                <c:pt idx="234">
                  <c:v>1.0745167104905899</c:v>
                </c:pt>
                <c:pt idx="235">
                  <c:v>1.0921343754133372</c:v>
                </c:pt>
                <c:pt idx="236">
                  <c:v>1.0781367748881634</c:v>
                </c:pt>
                <c:pt idx="237">
                  <c:v>1.0960075542944712</c:v>
                </c:pt>
                <c:pt idx="238">
                  <c:v>1.0818389477002865</c:v>
                </c:pt>
                <c:pt idx="239">
                  <c:v>1.099888624496163</c:v>
                </c:pt>
                <c:pt idx="240">
                  <c:v>1.0856210799066202</c:v>
                </c:pt>
                <c:pt idx="241">
                  <c:v>1.1037733687685809</c:v>
                </c:pt>
                <c:pt idx="242">
                  <c:v>1.0894554868106376</c:v>
                </c:pt>
                <c:pt idx="243">
                  <c:v>1.1076312777411783</c:v>
                </c:pt>
                <c:pt idx="244">
                  <c:v>1.0933132669642371</c:v>
                </c:pt>
                <c:pt idx="245">
                  <c:v>1.111432004624435</c:v>
                </c:pt>
                <c:pt idx="246">
                  <c:v>1.0971906423751165</c:v>
                </c:pt>
                <c:pt idx="247">
                  <c:v>1.1151705091605224</c:v>
                </c:pt>
                <c:pt idx="248">
                  <c:v>1.1010578827054809</c:v>
                </c:pt>
                <c:pt idx="249">
                  <c:v>1.1188169711526381</c:v>
                </c:pt>
                <c:pt idx="250">
                  <c:v>1.1049364362040299</c:v>
                </c:pt>
                <c:pt idx="251">
                  <c:v>1.1223895981444674</c:v>
                </c:pt>
                <c:pt idx="252">
                  <c:v>1.1087574655681052</c:v>
                </c:pt>
                <c:pt idx="253">
                  <c:v>1.1258234177904407</c:v>
                </c:pt>
                <c:pt idx="254">
                  <c:v>1.1125417215922273</c:v>
                </c:pt>
                <c:pt idx="255">
                  <c:v>1.129136038225651</c:v>
                </c:pt>
                <c:pt idx="256">
                  <c:v>1.1162462839918899</c:v>
                </c:pt>
                <c:pt idx="257">
                  <c:v>1.1322885581712103</c:v>
                </c:pt>
                <c:pt idx="258">
                  <c:v>1.1198661242137755</c:v>
                </c:pt>
                <c:pt idx="259">
                  <c:v>1.1352759352569852</c:v>
                </c:pt>
                <c:pt idx="260">
                  <c:v>1.1234067653856494</c:v>
                </c:pt>
                <c:pt idx="261">
                  <c:v>1.1381004454311201</c:v>
                </c:pt>
                <c:pt idx="262">
                  <c:v>1.1268259578647875</c:v>
                </c:pt>
                <c:pt idx="263">
                  <c:v>1.1407264125155745</c:v>
                </c:pt>
                <c:pt idx="264">
                  <c:v>1.130095665925039</c:v>
                </c:pt>
                <c:pt idx="265">
                  <c:v>1.1431318182051633</c:v>
                </c:pt>
                <c:pt idx="266">
                  <c:v>1.1332105312604157</c:v>
                </c:pt>
                <c:pt idx="267">
                  <c:v>1.1453124977410225</c:v>
                </c:pt>
                <c:pt idx="268">
                  <c:v>1.136163726700939</c:v>
                </c:pt>
                <c:pt idx="269">
                  <c:v>1.1472623392533197</c:v>
                </c:pt>
                <c:pt idx="270">
                  <c:v>1.1389288552066581</c:v>
                </c:pt>
                <c:pt idx="271">
                  <c:v>1.1489627383096286</c:v>
                </c:pt>
                <c:pt idx="272">
                  <c:v>1.1414908951444325</c:v>
                </c:pt>
                <c:pt idx="273">
                  <c:v>1.1504039729338233</c:v>
                </c:pt>
                <c:pt idx="274">
                  <c:v>1.1438284115281492</c:v>
                </c:pt>
                <c:pt idx="275">
                  <c:v>1.1515743480825418</c:v>
                </c:pt>
                <c:pt idx="276">
                  <c:v>1.1459439118509829</c:v>
                </c:pt>
                <c:pt idx="277">
                  <c:v>1.1524748719898936</c:v>
                </c:pt>
                <c:pt idx="278">
                  <c:v>1.1478174411451556</c:v>
                </c:pt>
                <c:pt idx="279">
                  <c:v>1.1530960095546066</c:v>
                </c:pt>
                <c:pt idx="280">
                  <c:v>1.1494383312783474</c:v>
                </c:pt>
                <c:pt idx="281">
                  <c:v>1.1534341309838045</c:v>
                </c:pt>
                <c:pt idx="282">
                  <c:v>1.1507932944346926</c:v>
                </c:pt>
                <c:pt idx="283">
                  <c:v>1.1534875505502307</c:v>
                </c:pt>
                <c:pt idx="284">
                  <c:v>1.1518803968205493</c:v>
                </c:pt>
                <c:pt idx="285">
                  <c:v>1.153257568933804</c:v>
                </c:pt>
                <c:pt idx="286">
                  <c:v>1.1526933556423962</c:v>
                </c:pt>
                <c:pt idx="287">
                  <c:v>1.1527454900744742</c:v>
                </c:pt>
                <c:pt idx="288">
                  <c:v>1.1532275039092834</c:v>
                </c:pt>
                <c:pt idx="289">
                  <c:v>1.1519542917053778</c:v>
                </c:pt>
                <c:pt idx="290">
                  <c:v>1.1534801008348221</c:v>
                </c:pt>
                <c:pt idx="291">
                  <c:v>1.150884555771158</c:v>
                </c:pt>
                <c:pt idx="292">
                  <c:v>1.1534480106838216</c:v>
                </c:pt>
                <c:pt idx="293">
                  <c:v>1.1495495183599984</c:v>
                </c:pt>
                <c:pt idx="294">
                  <c:v>1.1531327405237111</c:v>
                </c:pt>
                <c:pt idx="295">
                  <c:v>1.1479536794784873</c:v>
                </c:pt>
                <c:pt idx="296">
                  <c:v>1.1525361194028783</c:v>
                </c:pt>
                <c:pt idx="297">
                  <c:v>1.1461061500615968</c:v>
                </c:pt>
                <c:pt idx="298">
                  <c:v>1.151661614337542</c:v>
                </c:pt>
                <c:pt idx="299">
                  <c:v>1.1440172883420932</c:v>
                </c:pt>
                <c:pt idx="300">
                  <c:v>1.1505099522940214</c:v>
                </c:pt>
                <c:pt idx="301">
                  <c:v>1.1416906999443619</c:v>
                </c:pt>
                <c:pt idx="302">
                  <c:v>1.1491005219872106</c:v>
                </c:pt>
                <c:pt idx="303">
                  <c:v>1.1391634059083866</c:v>
                </c:pt>
                <c:pt idx="304">
                  <c:v>1.1474226494046496</c:v>
                </c:pt>
                <c:pt idx="305">
                  <c:v>1.1364156127331648</c:v>
                </c:pt>
                <c:pt idx="306">
                  <c:v>1.1455011976945257</c:v>
                </c:pt>
                <c:pt idx="307">
                  <c:v>1.1334884226564088</c:v>
                </c:pt>
                <c:pt idx="308">
                  <c:v>1.1433417943199913</c:v>
                </c:pt>
                <c:pt idx="309">
                  <c:v>1.1303886234272245</c:v>
                </c:pt>
                <c:pt idx="310">
                  <c:v>1.140964777838096</c:v>
                </c:pt>
                <c:pt idx="311">
                  <c:v>1.1271435036848352</c:v>
                </c:pt>
                <c:pt idx="312">
                  <c:v>1.1383584178381114</c:v>
                </c:pt>
                <c:pt idx="313">
                  <c:v>1.1237367577321726</c:v>
                </c:pt>
                <c:pt idx="314">
                  <c:v>1.1355617097883193</c:v>
                </c:pt>
                <c:pt idx="315">
                  <c:v>1.1202187355317419</c:v>
                </c:pt>
                <c:pt idx="316">
                  <c:v>1.1325813699634941</c:v>
                </c:pt>
                <c:pt idx="317">
                  <c:v>1.11659602148601</c:v>
                </c:pt>
                <c:pt idx="318">
                  <c:v>1.1294332061032439</c:v>
                </c:pt>
                <c:pt idx="319">
                  <c:v>1.1128863683050989</c:v>
                </c:pt>
                <c:pt idx="320">
                  <c:v>1.1261224555635985</c:v>
                </c:pt>
                <c:pt idx="321">
                  <c:v>1.1090949197430768</c:v>
                </c:pt>
                <c:pt idx="322">
                  <c:v>1.122676427820142</c:v>
                </c:pt>
                <c:pt idx="323">
                  <c:v>1.1052519839169213</c:v>
                </c:pt>
                <c:pt idx="324">
                  <c:v>1.1191126629040267</c:v>
                </c:pt>
                <c:pt idx="325">
                  <c:v>1.1013754186275277</c:v>
                </c:pt>
                <c:pt idx="326">
                  <c:v>1.1154489534136123</c:v>
                </c:pt>
                <c:pt idx="327">
                  <c:v>1.0974828641711054</c:v>
                </c:pt>
                <c:pt idx="328">
                  <c:v>1.1117158392606745</c:v>
                </c:pt>
                <c:pt idx="329">
                  <c:v>1.093604697480218</c:v>
                </c:pt>
                <c:pt idx="330">
                  <c:v>1.1079191624660649</c:v>
                </c:pt>
                <c:pt idx="331">
                  <c:v>1.089744882451833</c:v>
                </c:pt>
                <c:pt idx="332">
                  <c:v>1.1040768100934293</c:v>
                </c:pt>
                <c:pt idx="333">
                  <c:v>1.0859198094022315</c:v>
                </c:pt>
                <c:pt idx="334">
                  <c:v>1.1002064272462326</c:v>
                </c:pt>
                <c:pt idx="335">
                  <c:v>1.0821454617593651</c:v>
                </c:pt>
                <c:pt idx="336">
                  <c:v>1.0963125577111477</c:v>
                </c:pt>
                <c:pt idx="337">
                  <c:v>1.0784250281977896</c:v>
                </c:pt>
                <c:pt idx="338">
                  <c:v>1.0924381329222346</c:v>
                </c:pt>
                <c:pt idx="339">
                  <c:v>1.0747979499202021</c:v>
                </c:pt>
                <c:pt idx="340">
                  <c:v>1.0885870830504982</c:v>
                </c:pt>
                <c:pt idx="341">
                  <c:v>1.0712660353546186</c:v>
                </c:pt>
                <c:pt idx="342">
                  <c:v>1.0847756435908003</c:v>
                </c:pt>
                <c:pt idx="343">
                  <c:v>1.06784274669498</c:v>
                </c:pt>
                <c:pt idx="344">
                  <c:v>1.0810196593923098</c:v>
                </c:pt>
                <c:pt idx="345">
                  <c:v>1.064540864722811</c:v>
                </c:pt>
                <c:pt idx="346">
                  <c:v>1.0773342513225381</c:v>
                </c:pt>
                <c:pt idx="347">
                  <c:v>1.0613726209131986</c:v>
                </c:pt>
                <c:pt idx="348">
                  <c:v>1.0737223485231211</c:v>
                </c:pt>
                <c:pt idx="349">
                  <c:v>1.0583394881904058</c:v>
                </c:pt>
                <c:pt idx="350">
                  <c:v>1.0702102982765567</c:v>
                </c:pt>
                <c:pt idx="351">
                  <c:v>1.0554630591565339</c:v>
                </c:pt>
                <c:pt idx="352">
                  <c:v>1.0668116480026455</c:v>
                </c:pt>
                <c:pt idx="353">
                  <c:v>1.0527533608897868</c:v>
                </c:pt>
                <c:pt idx="354">
                  <c:v>1.063539103471679</c:v>
                </c:pt>
                <c:pt idx="355">
                  <c:v>1.0502197076377313</c:v>
                </c:pt>
                <c:pt idx="356">
                  <c:v>1.060414782318873</c:v>
                </c:pt>
                <c:pt idx="357">
                  <c:v>1.0478779657593882</c:v>
                </c:pt>
                <c:pt idx="358">
                  <c:v>1.0574388224647553</c:v>
                </c:pt>
                <c:pt idx="359">
                  <c:v>1.0457272799366757</c:v>
                </c:pt>
                <c:pt idx="360">
                  <c:v>1.0546216701704816</c:v>
                </c:pt>
                <c:pt idx="361">
                  <c:v>1.0437745217891812</c:v>
                </c:pt>
                <c:pt idx="362">
                  <c:v>1.0519729915349916</c:v>
                </c:pt>
                <c:pt idx="363">
                  <c:v>1.0420260460833173</c:v>
                </c:pt>
                <c:pt idx="364">
                  <c:v>1.0494939140228019</c:v>
                </c:pt>
                <c:pt idx="365">
                  <c:v>1.0404824985469794</c:v>
                </c:pt>
                <c:pt idx="366">
                  <c:v>1.0472017570309167</c:v>
                </c:pt>
                <c:pt idx="367">
                  <c:v>1.0391549528235884</c:v>
                </c:pt>
                <c:pt idx="368">
                  <c:v>1.0451040818266686</c:v>
                </c:pt>
                <c:pt idx="369">
                  <c:v>1.0380475317997515</c:v>
                </c:pt>
                <c:pt idx="370">
                  <c:v>1.0432136511735199</c:v>
                </c:pt>
                <c:pt idx="371">
                  <c:v>1.037166164340404</c:v>
                </c:pt>
                <c:pt idx="372">
                  <c:v>1.0415292377916807</c:v>
                </c:pt>
                <c:pt idx="373">
                  <c:v>1.0365095312245636</c:v>
                </c:pt>
                <c:pt idx="374">
                  <c:v>1.0400560911635717</c:v>
                </c:pt>
                <c:pt idx="375">
                  <c:v>1.0360796135059631</c:v>
                </c:pt>
                <c:pt idx="376">
                  <c:v>1.0387988400677437</c:v>
                </c:pt>
                <c:pt idx="377">
                  <c:v>1.0358777330820272</c:v>
                </c:pt>
                <c:pt idx="378">
                  <c:v>1.0377613395834384</c:v>
                </c:pt>
                <c:pt idx="379">
                  <c:v>1.0359044734067846</c:v>
                </c:pt>
                <c:pt idx="380">
                  <c:v>1.0369467332631195</c:v>
                </c:pt>
                <c:pt idx="381">
                  <c:v>1.0361597417765882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454-49FE-809F-D5B4A31FC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929647"/>
        <c:axId val="1198924367"/>
      </c:scatterChart>
      <c:valAx>
        <c:axId val="1198929647"/>
        <c:scaling>
          <c:orientation val="minMax"/>
          <c:max val="3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Phase of satellite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0.37478353364115302"/>
              <c:y val="0.91687193645846776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98924367"/>
        <c:crosses val="autoZero"/>
        <c:crossBetween val="midCat"/>
        <c:majorUnit val="90"/>
      </c:valAx>
      <c:valAx>
        <c:axId val="1198924367"/>
        <c:scaling>
          <c:orientation val="minMax"/>
          <c:max val="1.9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mrad/s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1.6592215812033274E-2"/>
              <c:y val="0.4016702267537578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98929647"/>
        <c:crosses val="autoZero"/>
        <c:crossBetween val="midCat"/>
      </c:valAx>
      <c:spPr>
        <a:ln>
          <a:solidFill>
            <a:schemeClr val="tx1">
              <a:lumMod val="25000"/>
              <a:lumOff val="75000"/>
            </a:schemeClr>
          </a:solidFill>
        </a:ln>
      </c:spPr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gap of angle (mrad) F=4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DTDRpat_result0!$C$1</c:f>
              <c:strCache>
                <c:ptCount val="1"/>
                <c:pt idx="0">
                  <c:v>F=4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DTDRpat_result0!$B$2:$B$383</c:f>
              <c:numCache>
                <c:formatCode>General</c:formatCode>
                <c:ptCount val="382"/>
                <c:pt idx="0">
                  <c:v>6.2630000000000012E-3</c:v>
                </c:pt>
                <c:pt idx="1">
                  <c:v>6.2630000000000012E-3</c:v>
                </c:pt>
                <c:pt idx="2">
                  <c:v>1.8851630000000021</c:v>
                </c:pt>
                <c:pt idx="3">
                  <c:v>1.8851630000000021</c:v>
                </c:pt>
                <c:pt idx="4">
                  <c:v>3.7891150000000429</c:v>
                </c:pt>
                <c:pt idx="5">
                  <c:v>3.7891150000000429</c:v>
                </c:pt>
                <c:pt idx="6">
                  <c:v>5.6680149999999898</c:v>
                </c:pt>
                <c:pt idx="7">
                  <c:v>5.6680149999999898</c:v>
                </c:pt>
                <c:pt idx="8">
                  <c:v>7.5657039999999816</c:v>
                </c:pt>
                <c:pt idx="9">
                  <c:v>7.5657039999999816</c:v>
                </c:pt>
                <c:pt idx="10">
                  <c:v>9.4508670000001374</c:v>
                </c:pt>
                <c:pt idx="11">
                  <c:v>9.4508670000001374</c:v>
                </c:pt>
                <c:pt idx="12">
                  <c:v>11.329767000000343</c:v>
                </c:pt>
                <c:pt idx="13">
                  <c:v>11.329767000000343</c:v>
                </c:pt>
                <c:pt idx="14">
                  <c:v>13.208667000000569</c:v>
                </c:pt>
                <c:pt idx="15">
                  <c:v>13.208667000000569</c:v>
                </c:pt>
                <c:pt idx="16">
                  <c:v>15.106356000000735</c:v>
                </c:pt>
                <c:pt idx="17">
                  <c:v>15.106356000000735</c:v>
                </c:pt>
                <c:pt idx="18">
                  <c:v>16.991519000000864</c:v>
                </c:pt>
                <c:pt idx="19">
                  <c:v>16.991519000000864</c:v>
                </c:pt>
                <c:pt idx="20">
                  <c:v>18.920523000001062</c:v>
                </c:pt>
                <c:pt idx="21">
                  <c:v>18.920523000001062</c:v>
                </c:pt>
                <c:pt idx="22">
                  <c:v>20.830738000001276</c:v>
                </c:pt>
                <c:pt idx="23">
                  <c:v>20.830738000001276</c:v>
                </c:pt>
                <c:pt idx="24">
                  <c:v>22.734690000001489</c:v>
                </c:pt>
                <c:pt idx="25">
                  <c:v>22.734690000001489</c:v>
                </c:pt>
                <c:pt idx="26">
                  <c:v>24.632379000001709</c:v>
                </c:pt>
                <c:pt idx="27">
                  <c:v>24.632379000001709</c:v>
                </c:pt>
                <c:pt idx="28">
                  <c:v>26.530068000001961</c:v>
                </c:pt>
                <c:pt idx="29">
                  <c:v>26.530068000001961</c:v>
                </c:pt>
                <c:pt idx="30">
                  <c:v>28.408968000002208</c:v>
                </c:pt>
                <c:pt idx="31">
                  <c:v>28.408968000002208</c:v>
                </c:pt>
                <c:pt idx="32">
                  <c:v>30.300394000002274</c:v>
                </c:pt>
                <c:pt idx="33">
                  <c:v>30.300394000002274</c:v>
                </c:pt>
                <c:pt idx="34">
                  <c:v>32.191820000002224</c:v>
                </c:pt>
                <c:pt idx="35">
                  <c:v>32.191820000002224</c:v>
                </c:pt>
                <c:pt idx="36">
                  <c:v>34.083246000001388</c:v>
                </c:pt>
                <c:pt idx="37">
                  <c:v>34.083246000001388</c:v>
                </c:pt>
                <c:pt idx="38">
                  <c:v>35.962146000000565</c:v>
                </c:pt>
                <c:pt idx="39">
                  <c:v>35.962146000000565</c:v>
                </c:pt>
                <c:pt idx="40">
                  <c:v>37.841045999999736</c:v>
                </c:pt>
                <c:pt idx="41">
                  <c:v>37.841045999999736</c:v>
                </c:pt>
                <c:pt idx="42">
                  <c:v>39.732471999998907</c:v>
                </c:pt>
                <c:pt idx="43">
                  <c:v>39.732471999998907</c:v>
                </c:pt>
                <c:pt idx="44">
                  <c:v>41.623897999998071</c:v>
                </c:pt>
                <c:pt idx="45">
                  <c:v>41.623897999998071</c:v>
                </c:pt>
                <c:pt idx="46">
                  <c:v>43.515323999997243</c:v>
                </c:pt>
                <c:pt idx="47">
                  <c:v>43.515323999997243</c:v>
                </c:pt>
                <c:pt idx="48">
                  <c:v>45.394223999996413</c:v>
                </c:pt>
                <c:pt idx="49">
                  <c:v>45.394223999996413</c:v>
                </c:pt>
                <c:pt idx="50">
                  <c:v>47.285649999995584</c:v>
                </c:pt>
                <c:pt idx="51">
                  <c:v>47.285649999995584</c:v>
                </c:pt>
                <c:pt idx="52">
                  <c:v>49.164549999994755</c:v>
                </c:pt>
                <c:pt idx="53">
                  <c:v>49.164549999994755</c:v>
                </c:pt>
                <c:pt idx="54">
                  <c:v>51.062238999993923</c:v>
                </c:pt>
                <c:pt idx="55">
                  <c:v>51.062238999993923</c:v>
                </c:pt>
                <c:pt idx="56">
                  <c:v>52.9411389999931</c:v>
                </c:pt>
                <c:pt idx="57">
                  <c:v>52.9411389999931</c:v>
                </c:pt>
                <c:pt idx="58">
                  <c:v>54.832564999992265</c:v>
                </c:pt>
                <c:pt idx="59">
                  <c:v>54.832564999992265</c:v>
                </c:pt>
                <c:pt idx="60">
                  <c:v>56.717727999991439</c:v>
                </c:pt>
                <c:pt idx="61">
                  <c:v>56.717727999991439</c:v>
                </c:pt>
                <c:pt idx="62">
                  <c:v>58.59662799999041</c:v>
                </c:pt>
                <c:pt idx="63">
                  <c:v>58.59662799999041</c:v>
                </c:pt>
                <c:pt idx="64">
                  <c:v>60.494316999989287</c:v>
                </c:pt>
                <c:pt idx="65">
                  <c:v>60.494316999989287</c:v>
                </c:pt>
                <c:pt idx="66">
                  <c:v>62.37321699998818</c:v>
                </c:pt>
                <c:pt idx="67">
                  <c:v>62.37321699998818</c:v>
                </c:pt>
                <c:pt idx="68">
                  <c:v>64.264642999987458</c:v>
                </c:pt>
                <c:pt idx="69">
                  <c:v>64.264642999987458</c:v>
                </c:pt>
                <c:pt idx="70">
                  <c:v>66.149805999988899</c:v>
                </c:pt>
                <c:pt idx="71">
                  <c:v>66.149805999988899</c:v>
                </c:pt>
                <c:pt idx="72">
                  <c:v>68.04123199999033</c:v>
                </c:pt>
                <c:pt idx="73">
                  <c:v>68.04123199999033</c:v>
                </c:pt>
                <c:pt idx="74">
                  <c:v>69.932657999992031</c:v>
                </c:pt>
                <c:pt idx="75">
                  <c:v>69.932657999992031</c:v>
                </c:pt>
                <c:pt idx="76">
                  <c:v>71.811557999993852</c:v>
                </c:pt>
                <c:pt idx="77">
                  <c:v>71.811557999993852</c:v>
                </c:pt>
                <c:pt idx="78">
                  <c:v>73.690457999995672</c:v>
                </c:pt>
                <c:pt idx="79">
                  <c:v>73.690457999995672</c:v>
                </c:pt>
                <c:pt idx="80">
                  <c:v>75.588146999997534</c:v>
                </c:pt>
                <c:pt idx="81">
                  <c:v>75.588146999997534</c:v>
                </c:pt>
                <c:pt idx="82">
                  <c:v>77.467046999999354</c:v>
                </c:pt>
                <c:pt idx="83">
                  <c:v>77.467046999999354</c:v>
                </c:pt>
                <c:pt idx="84">
                  <c:v>79.358473000001183</c:v>
                </c:pt>
                <c:pt idx="85">
                  <c:v>79.358473000001183</c:v>
                </c:pt>
                <c:pt idx="86">
                  <c:v>81.24989900000304</c:v>
                </c:pt>
                <c:pt idx="87">
                  <c:v>81.24989900000304</c:v>
                </c:pt>
                <c:pt idx="88">
                  <c:v>83.141325000004883</c:v>
                </c:pt>
                <c:pt idx="89">
                  <c:v>83.141325000004883</c:v>
                </c:pt>
                <c:pt idx="90">
                  <c:v>85.020225000006718</c:v>
                </c:pt>
                <c:pt idx="91">
                  <c:v>85.020225000006718</c:v>
                </c:pt>
                <c:pt idx="92">
                  <c:v>86.899125000008539</c:v>
                </c:pt>
                <c:pt idx="93">
                  <c:v>86.899125000008539</c:v>
                </c:pt>
                <c:pt idx="94">
                  <c:v>88.790551000010367</c:v>
                </c:pt>
                <c:pt idx="95">
                  <c:v>88.790551000010367</c:v>
                </c:pt>
                <c:pt idx="96">
                  <c:v>90.681977000012225</c:v>
                </c:pt>
                <c:pt idx="97">
                  <c:v>90.681977000012225</c:v>
                </c:pt>
                <c:pt idx="98">
                  <c:v>92.573403000014096</c:v>
                </c:pt>
                <c:pt idx="99">
                  <c:v>92.573403000014096</c:v>
                </c:pt>
                <c:pt idx="100">
                  <c:v>94.452303000016087</c:v>
                </c:pt>
                <c:pt idx="101">
                  <c:v>94.452303000016087</c:v>
                </c:pt>
                <c:pt idx="102">
                  <c:v>96.331203000018064</c:v>
                </c:pt>
                <c:pt idx="103">
                  <c:v>96.331203000018064</c:v>
                </c:pt>
                <c:pt idx="104">
                  <c:v>98.228892000020082</c:v>
                </c:pt>
                <c:pt idx="105">
                  <c:v>98.228892000020082</c:v>
                </c:pt>
                <c:pt idx="106">
                  <c:v>100.12031800002208</c:v>
                </c:pt>
                <c:pt idx="107">
                  <c:v>100.12031800002208</c:v>
                </c:pt>
                <c:pt idx="108">
                  <c:v>101.99921800002406</c:v>
                </c:pt>
                <c:pt idx="109">
                  <c:v>101.99921800002406</c:v>
                </c:pt>
                <c:pt idx="110">
                  <c:v>103.87811800002605</c:v>
                </c:pt>
                <c:pt idx="111">
                  <c:v>103.87811800002605</c:v>
                </c:pt>
                <c:pt idx="112">
                  <c:v>105.75701800002803</c:v>
                </c:pt>
                <c:pt idx="113">
                  <c:v>105.75701800002803</c:v>
                </c:pt>
                <c:pt idx="114">
                  <c:v>107.65470700003004</c:v>
                </c:pt>
                <c:pt idx="115">
                  <c:v>107.65470700003004</c:v>
                </c:pt>
                <c:pt idx="116">
                  <c:v>109.54613300003204</c:v>
                </c:pt>
                <c:pt idx="117">
                  <c:v>109.54613300003204</c:v>
                </c:pt>
                <c:pt idx="118">
                  <c:v>111.43755900003404</c:v>
                </c:pt>
                <c:pt idx="119">
                  <c:v>111.43755900003404</c:v>
                </c:pt>
                <c:pt idx="120">
                  <c:v>113.32898500003604</c:v>
                </c:pt>
                <c:pt idx="121">
                  <c:v>113.32898500003604</c:v>
                </c:pt>
                <c:pt idx="122">
                  <c:v>115.20788500003803</c:v>
                </c:pt>
                <c:pt idx="123">
                  <c:v>115.20788500003803</c:v>
                </c:pt>
                <c:pt idx="124">
                  <c:v>117.08678500003998</c:v>
                </c:pt>
                <c:pt idx="125">
                  <c:v>117.08678500003998</c:v>
                </c:pt>
                <c:pt idx="126">
                  <c:v>118.96568500004193</c:v>
                </c:pt>
                <c:pt idx="127">
                  <c:v>118.96568500004193</c:v>
                </c:pt>
                <c:pt idx="128">
                  <c:v>120.85084800004387</c:v>
                </c:pt>
                <c:pt idx="129">
                  <c:v>120.85084800004387</c:v>
                </c:pt>
                <c:pt idx="130">
                  <c:v>122.74853700004584</c:v>
                </c:pt>
                <c:pt idx="131">
                  <c:v>122.74853700004584</c:v>
                </c:pt>
                <c:pt idx="132">
                  <c:v>124.6399630000478</c:v>
                </c:pt>
                <c:pt idx="133">
                  <c:v>124.6399630000478</c:v>
                </c:pt>
                <c:pt idx="134">
                  <c:v>126.53138900004976</c:v>
                </c:pt>
                <c:pt idx="135">
                  <c:v>126.53138900004976</c:v>
                </c:pt>
                <c:pt idx="136">
                  <c:v>128.42281500005069</c:v>
                </c:pt>
                <c:pt idx="137">
                  <c:v>128.42281500005069</c:v>
                </c:pt>
                <c:pt idx="138">
                  <c:v>130.31424100004827</c:v>
                </c:pt>
                <c:pt idx="139">
                  <c:v>130.31424100004827</c:v>
                </c:pt>
                <c:pt idx="140">
                  <c:v>132.20566700004582</c:v>
                </c:pt>
                <c:pt idx="141">
                  <c:v>132.20566700004582</c:v>
                </c:pt>
                <c:pt idx="142">
                  <c:v>134.09083000004341</c:v>
                </c:pt>
                <c:pt idx="143">
                  <c:v>134.09083000004341</c:v>
                </c:pt>
                <c:pt idx="144">
                  <c:v>135.96973000004098</c:v>
                </c:pt>
                <c:pt idx="145">
                  <c:v>135.96973000004098</c:v>
                </c:pt>
                <c:pt idx="146">
                  <c:v>137.86115600003856</c:v>
                </c:pt>
                <c:pt idx="147">
                  <c:v>137.86115600003856</c:v>
                </c:pt>
                <c:pt idx="148">
                  <c:v>139.75258200003611</c:v>
                </c:pt>
                <c:pt idx="149">
                  <c:v>139.75258200003611</c:v>
                </c:pt>
                <c:pt idx="150">
                  <c:v>141.64400800003369</c:v>
                </c:pt>
                <c:pt idx="151">
                  <c:v>141.64400800003369</c:v>
                </c:pt>
                <c:pt idx="152">
                  <c:v>143.52917100003125</c:v>
                </c:pt>
                <c:pt idx="153">
                  <c:v>143.52917100003125</c:v>
                </c:pt>
                <c:pt idx="154">
                  <c:v>145.42059700002883</c:v>
                </c:pt>
                <c:pt idx="155">
                  <c:v>145.42059700002883</c:v>
                </c:pt>
                <c:pt idx="156">
                  <c:v>147.30576000002642</c:v>
                </c:pt>
                <c:pt idx="157">
                  <c:v>147.30576000002642</c:v>
                </c:pt>
                <c:pt idx="158">
                  <c:v>149.184660000024</c:v>
                </c:pt>
                <c:pt idx="159">
                  <c:v>149.184660000024</c:v>
                </c:pt>
                <c:pt idx="160">
                  <c:v>151.07608600002158</c:v>
                </c:pt>
                <c:pt idx="161">
                  <c:v>151.07608600002158</c:v>
                </c:pt>
                <c:pt idx="162">
                  <c:v>152.95498600001915</c:v>
                </c:pt>
                <c:pt idx="163">
                  <c:v>152.95498600001915</c:v>
                </c:pt>
                <c:pt idx="164">
                  <c:v>154.8464120000167</c:v>
                </c:pt>
                <c:pt idx="165">
                  <c:v>154.8464120000167</c:v>
                </c:pt>
                <c:pt idx="166">
                  <c:v>156.7253120000143</c:v>
                </c:pt>
                <c:pt idx="167">
                  <c:v>156.7253120000143</c:v>
                </c:pt>
                <c:pt idx="168">
                  <c:v>158.60421200001187</c:v>
                </c:pt>
                <c:pt idx="169">
                  <c:v>158.60421200001187</c:v>
                </c:pt>
                <c:pt idx="170">
                  <c:v>160.48311200000947</c:v>
                </c:pt>
                <c:pt idx="171">
                  <c:v>160.48311200000947</c:v>
                </c:pt>
                <c:pt idx="172">
                  <c:v>162.37453800000702</c:v>
                </c:pt>
                <c:pt idx="173">
                  <c:v>162.37453800000702</c:v>
                </c:pt>
                <c:pt idx="174">
                  <c:v>164.2659640000046</c:v>
                </c:pt>
                <c:pt idx="175">
                  <c:v>164.2659640000046</c:v>
                </c:pt>
                <c:pt idx="176">
                  <c:v>166.14486400000217</c:v>
                </c:pt>
                <c:pt idx="177">
                  <c:v>166.14486400000217</c:v>
                </c:pt>
                <c:pt idx="178">
                  <c:v>168.03628999999975</c:v>
                </c:pt>
                <c:pt idx="179">
                  <c:v>168.03628999999975</c:v>
                </c:pt>
                <c:pt idx="180">
                  <c:v>169.9277159999973</c:v>
                </c:pt>
                <c:pt idx="181">
                  <c:v>169.9277159999973</c:v>
                </c:pt>
                <c:pt idx="182">
                  <c:v>171.8066159999949</c:v>
                </c:pt>
                <c:pt idx="183">
                  <c:v>171.8066159999949</c:v>
                </c:pt>
                <c:pt idx="184">
                  <c:v>173.69804199999245</c:v>
                </c:pt>
                <c:pt idx="185">
                  <c:v>173.69804199999245</c:v>
                </c:pt>
                <c:pt idx="186">
                  <c:v>175.58946799999003</c:v>
                </c:pt>
                <c:pt idx="187">
                  <c:v>175.58946799999003</c:v>
                </c:pt>
                <c:pt idx="188">
                  <c:v>177.48089399998759</c:v>
                </c:pt>
                <c:pt idx="189">
                  <c:v>177.48089399998759</c:v>
                </c:pt>
                <c:pt idx="190">
                  <c:v>179.36605699998518</c:v>
                </c:pt>
                <c:pt idx="191">
                  <c:v>179.36605699998518</c:v>
                </c:pt>
                <c:pt idx="192">
                  <c:v>181.25748299998276</c:v>
                </c:pt>
                <c:pt idx="193">
                  <c:v>181.25748299998276</c:v>
                </c:pt>
                <c:pt idx="194">
                  <c:v>183.14890899998031</c:v>
                </c:pt>
                <c:pt idx="195">
                  <c:v>183.14890899998031</c:v>
                </c:pt>
                <c:pt idx="196">
                  <c:v>185.0340719999779</c:v>
                </c:pt>
                <c:pt idx="197">
                  <c:v>185.0340719999779</c:v>
                </c:pt>
                <c:pt idx="198">
                  <c:v>186.92549799997545</c:v>
                </c:pt>
                <c:pt idx="199">
                  <c:v>186.92549799997545</c:v>
                </c:pt>
                <c:pt idx="200">
                  <c:v>188.81066099997304</c:v>
                </c:pt>
                <c:pt idx="201">
                  <c:v>188.81066099997304</c:v>
                </c:pt>
                <c:pt idx="202">
                  <c:v>190.6958239999706</c:v>
                </c:pt>
                <c:pt idx="203">
                  <c:v>190.6958239999706</c:v>
                </c:pt>
                <c:pt idx="204">
                  <c:v>192.5747239999682</c:v>
                </c:pt>
                <c:pt idx="205">
                  <c:v>192.5747239999682</c:v>
                </c:pt>
                <c:pt idx="206">
                  <c:v>194.45988699996576</c:v>
                </c:pt>
                <c:pt idx="207">
                  <c:v>194.45988699996576</c:v>
                </c:pt>
                <c:pt idx="208">
                  <c:v>196.33878699996336</c:v>
                </c:pt>
                <c:pt idx="209">
                  <c:v>196.33878699996336</c:v>
                </c:pt>
                <c:pt idx="210">
                  <c:v>198.23021299996091</c:v>
                </c:pt>
                <c:pt idx="211">
                  <c:v>198.23021299996091</c:v>
                </c:pt>
                <c:pt idx="212">
                  <c:v>200.1153759999585</c:v>
                </c:pt>
                <c:pt idx="213">
                  <c:v>200.1153759999585</c:v>
                </c:pt>
                <c:pt idx="214">
                  <c:v>202.00680199995605</c:v>
                </c:pt>
                <c:pt idx="215">
                  <c:v>202.00680199995605</c:v>
                </c:pt>
                <c:pt idx="216">
                  <c:v>203.89822799995363</c:v>
                </c:pt>
                <c:pt idx="217">
                  <c:v>203.89822799995363</c:v>
                </c:pt>
                <c:pt idx="218">
                  <c:v>205.78339099995119</c:v>
                </c:pt>
                <c:pt idx="219">
                  <c:v>205.78339099995119</c:v>
                </c:pt>
                <c:pt idx="220">
                  <c:v>207.66855399994878</c:v>
                </c:pt>
                <c:pt idx="221">
                  <c:v>207.66855399994878</c:v>
                </c:pt>
                <c:pt idx="222">
                  <c:v>209.55371699994635</c:v>
                </c:pt>
                <c:pt idx="223">
                  <c:v>209.55371699994635</c:v>
                </c:pt>
                <c:pt idx="224">
                  <c:v>211.43887999994394</c:v>
                </c:pt>
                <c:pt idx="225">
                  <c:v>211.43887999994394</c:v>
                </c:pt>
                <c:pt idx="226">
                  <c:v>213.3240429999415</c:v>
                </c:pt>
                <c:pt idx="227">
                  <c:v>213.3240429999415</c:v>
                </c:pt>
                <c:pt idx="228">
                  <c:v>215.2029429999391</c:v>
                </c:pt>
                <c:pt idx="229">
                  <c:v>215.2029429999391</c:v>
                </c:pt>
                <c:pt idx="230">
                  <c:v>217.09436899993665</c:v>
                </c:pt>
                <c:pt idx="231">
                  <c:v>217.09436899993665</c:v>
                </c:pt>
                <c:pt idx="232">
                  <c:v>218.98579499993423</c:v>
                </c:pt>
                <c:pt idx="233">
                  <c:v>218.98579499993423</c:v>
                </c:pt>
                <c:pt idx="234">
                  <c:v>220.87095799993179</c:v>
                </c:pt>
                <c:pt idx="235">
                  <c:v>220.87095799993179</c:v>
                </c:pt>
                <c:pt idx="236">
                  <c:v>222.75612099992938</c:v>
                </c:pt>
                <c:pt idx="237">
                  <c:v>222.75612099992938</c:v>
                </c:pt>
                <c:pt idx="238">
                  <c:v>224.64128399992694</c:v>
                </c:pt>
                <c:pt idx="239">
                  <c:v>224.64128399992694</c:v>
                </c:pt>
                <c:pt idx="240">
                  <c:v>226.53270999992452</c:v>
                </c:pt>
                <c:pt idx="241">
                  <c:v>226.53270999992452</c:v>
                </c:pt>
                <c:pt idx="242">
                  <c:v>228.42413599992207</c:v>
                </c:pt>
                <c:pt idx="243">
                  <c:v>228.42413599992207</c:v>
                </c:pt>
                <c:pt idx="244">
                  <c:v>230.30929899992211</c:v>
                </c:pt>
                <c:pt idx="245">
                  <c:v>230.30929899992211</c:v>
                </c:pt>
                <c:pt idx="246">
                  <c:v>232.19446199992382</c:v>
                </c:pt>
                <c:pt idx="247">
                  <c:v>232.19446199992382</c:v>
                </c:pt>
                <c:pt idx="248">
                  <c:v>234.07336199992565</c:v>
                </c:pt>
                <c:pt idx="249">
                  <c:v>234.07336199992565</c:v>
                </c:pt>
                <c:pt idx="250">
                  <c:v>235.96478799992752</c:v>
                </c:pt>
                <c:pt idx="251">
                  <c:v>235.96478799992752</c:v>
                </c:pt>
                <c:pt idx="252">
                  <c:v>237.84368799992936</c:v>
                </c:pt>
                <c:pt idx="253">
                  <c:v>237.84368799992936</c:v>
                </c:pt>
                <c:pt idx="254">
                  <c:v>239.72885099993115</c:v>
                </c:pt>
                <c:pt idx="255">
                  <c:v>239.72885099993115</c:v>
                </c:pt>
                <c:pt idx="256">
                  <c:v>241.60775099993299</c:v>
                </c:pt>
                <c:pt idx="257">
                  <c:v>241.60775099993299</c:v>
                </c:pt>
                <c:pt idx="258">
                  <c:v>243.48665099993485</c:v>
                </c:pt>
                <c:pt idx="259">
                  <c:v>243.48665099993485</c:v>
                </c:pt>
                <c:pt idx="260">
                  <c:v>245.37807699993664</c:v>
                </c:pt>
                <c:pt idx="261">
                  <c:v>245.37807699993664</c:v>
                </c:pt>
                <c:pt idx="262">
                  <c:v>247.26950299993851</c:v>
                </c:pt>
                <c:pt idx="263">
                  <c:v>247.26950299993851</c:v>
                </c:pt>
                <c:pt idx="264">
                  <c:v>249.15466599994036</c:v>
                </c:pt>
                <c:pt idx="265">
                  <c:v>249.15466599994036</c:v>
                </c:pt>
                <c:pt idx="266">
                  <c:v>251.03982899994216</c:v>
                </c:pt>
                <c:pt idx="267">
                  <c:v>251.03982899994216</c:v>
                </c:pt>
                <c:pt idx="268">
                  <c:v>252.931254999944</c:v>
                </c:pt>
                <c:pt idx="269">
                  <c:v>252.931254999944</c:v>
                </c:pt>
                <c:pt idx="270">
                  <c:v>254.82268099994587</c:v>
                </c:pt>
                <c:pt idx="271">
                  <c:v>254.82268099994587</c:v>
                </c:pt>
                <c:pt idx="272">
                  <c:v>256.71410699994607</c:v>
                </c:pt>
                <c:pt idx="273">
                  <c:v>256.71410699994607</c:v>
                </c:pt>
                <c:pt idx="274">
                  <c:v>258.59926999994366</c:v>
                </c:pt>
                <c:pt idx="275">
                  <c:v>258.59926999994366</c:v>
                </c:pt>
                <c:pt idx="276">
                  <c:v>260.49069599994124</c:v>
                </c:pt>
                <c:pt idx="277">
                  <c:v>260.49069599994124</c:v>
                </c:pt>
                <c:pt idx="278">
                  <c:v>262.38212199993882</c:v>
                </c:pt>
                <c:pt idx="279">
                  <c:v>262.38212199993882</c:v>
                </c:pt>
                <c:pt idx="280">
                  <c:v>264.27354799993634</c:v>
                </c:pt>
                <c:pt idx="281">
                  <c:v>264.27354799993634</c:v>
                </c:pt>
                <c:pt idx="282">
                  <c:v>266.15871099993393</c:v>
                </c:pt>
                <c:pt idx="283">
                  <c:v>266.15871099993393</c:v>
                </c:pt>
                <c:pt idx="284">
                  <c:v>268.04387399993152</c:v>
                </c:pt>
                <c:pt idx="285">
                  <c:v>268.04387399993152</c:v>
                </c:pt>
                <c:pt idx="286">
                  <c:v>269.92903699992911</c:v>
                </c:pt>
                <c:pt idx="287">
                  <c:v>269.92903699992911</c:v>
                </c:pt>
                <c:pt idx="288">
                  <c:v>271.81419999992664</c:v>
                </c:pt>
                <c:pt idx="289">
                  <c:v>271.81419999992664</c:v>
                </c:pt>
                <c:pt idx="290">
                  <c:v>273.70562599992422</c:v>
                </c:pt>
                <c:pt idx="291">
                  <c:v>273.70562599992422</c:v>
                </c:pt>
                <c:pt idx="292">
                  <c:v>275.59078899992181</c:v>
                </c:pt>
                <c:pt idx="293">
                  <c:v>275.59078899992181</c:v>
                </c:pt>
                <c:pt idx="294">
                  <c:v>277.4759519999194</c:v>
                </c:pt>
                <c:pt idx="295">
                  <c:v>277.4759519999194</c:v>
                </c:pt>
                <c:pt idx="296">
                  <c:v>279.36111499991694</c:v>
                </c:pt>
                <c:pt idx="297">
                  <c:v>279.36111499991694</c:v>
                </c:pt>
                <c:pt idx="298">
                  <c:v>281.24627799991453</c:v>
                </c:pt>
                <c:pt idx="299">
                  <c:v>281.24627799991453</c:v>
                </c:pt>
                <c:pt idx="300">
                  <c:v>283.13770399991211</c:v>
                </c:pt>
                <c:pt idx="301">
                  <c:v>283.13770399991211</c:v>
                </c:pt>
                <c:pt idx="302">
                  <c:v>285.01660399990971</c:v>
                </c:pt>
                <c:pt idx="303">
                  <c:v>285.01660399990971</c:v>
                </c:pt>
                <c:pt idx="304">
                  <c:v>286.90802999990723</c:v>
                </c:pt>
                <c:pt idx="305">
                  <c:v>286.90802999990723</c:v>
                </c:pt>
                <c:pt idx="306">
                  <c:v>288.79319299990482</c:v>
                </c:pt>
                <c:pt idx="307">
                  <c:v>288.79319299990482</c:v>
                </c:pt>
                <c:pt idx="308">
                  <c:v>290.67835599990241</c:v>
                </c:pt>
                <c:pt idx="309">
                  <c:v>290.67835599990241</c:v>
                </c:pt>
                <c:pt idx="310">
                  <c:v>292.55725599990001</c:v>
                </c:pt>
                <c:pt idx="311">
                  <c:v>292.55725599990001</c:v>
                </c:pt>
                <c:pt idx="312">
                  <c:v>294.44868199989753</c:v>
                </c:pt>
                <c:pt idx="313">
                  <c:v>294.44868199989753</c:v>
                </c:pt>
                <c:pt idx="314">
                  <c:v>296.33384499989512</c:v>
                </c:pt>
                <c:pt idx="315">
                  <c:v>296.33384499989512</c:v>
                </c:pt>
                <c:pt idx="316">
                  <c:v>298.21900799989271</c:v>
                </c:pt>
                <c:pt idx="317">
                  <c:v>298.21900799989271</c:v>
                </c:pt>
                <c:pt idx="318">
                  <c:v>300.1041709998903</c:v>
                </c:pt>
                <c:pt idx="319">
                  <c:v>300.1041709998903</c:v>
                </c:pt>
                <c:pt idx="320">
                  <c:v>301.99559699988788</c:v>
                </c:pt>
                <c:pt idx="321">
                  <c:v>301.99559699988788</c:v>
                </c:pt>
                <c:pt idx="322">
                  <c:v>303.8870229998854</c:v>
                </c:pt>
                <c:pt idx="323">
                  <c:v>303.8870229998854</c:v>
                </c:pt>
                <c:pt idx="324">
                  <c:v>305.77844899988298</c:v>
                </c:pt>
                <c:pt idx="325">
                  <c:v>305.77844899988298</c:v>
                </c:pt>
                <c:pt idx="326">
                  <c:v>307.66987499988056</c:v>
                </c:pt>
                <c:pt idx="327">
                  <c:v>307.66987499988056</c:v>
                </c:pt>
                <c:pt idx="328">
                  <c:v>309.55503799987815</c:v>
                </c:pt>
                <c:pt idx="329">
                  <c:v>309.55503799987815</c:v>
                </c:pt>
                <c:pt idx="330">
                  <c:v>311.44020099987569</c:v>
                </c:pt>
                <c:pt idx="331">
                  <c:v>311.44020099987569</c:v>
                </c:pt>
                <c:pt idx="332">
                  <c:v>313.32536399987328</c:v>
                </c:pt>
                <c:pt idx="333">
                  <c:v>313.32536399987328</c:v>
                </c:pt>
                <c:pt idx="334">
                  <c:v>315.21052699987086</c:v>
                </c:pt>
                <c:pt idx="335">
                  <c:v>315.21052699987086</c:v>
                </c:pt>
                <c:pt idx="336">
                  <c:v>317.10195299986844</c:v>
                </c:pt>
                <c:pt idx="337">
                  <c:v>317.10195299986844</c:v>
                </c:pt>
                <c:pt idx="338">
                  <c:v>318.98711599986598</c:v>
                </c:pt>
                <c:pt idx="339">
                  <c:v>318.98711599986598</c:v>
                </c:pt>
                <c:pt idx="340">
                  <c:v>320.87227899986357</c:v>
                </c:pt>
                <c:pt idx="341">
                  <c:v>320.87227899986357</c:v>
                </c:pt>
                <c:pt idx="342">
                  <c:v>322.75744199986116</c:v>
                </c:pt>
                <c:pt idx="343">
                  <c:v>322.75744199986116</c:v>
                </c:pt>
                <c:pt idx="344">
                  <c:v>324.64260499985875</c:v>
                </c:pt>
                <c:pt idx="345">
                  <c:v>324.64260499985875</c:v>
                </c:pt>
                <c:pt idx="346">
                  <c:v>326.52776799985628</c:v>
                </c:pt>
                <c:pt idx="347">
                  <c:v>326.52776799985628</c:v>
                </c:pt>
                <c:pt idx="348">
                  <c:v>328.41919399985386</c:v>
                </c:pt>
                <c:pt idx="349">
                  <c:v>328.41919399985386</c:v>
                </c:pt>
                <c:pt idx="350">
                  <c:v>330.31061999985144</c:v>
                </c:pt>
                <c:pt idx="351">
                  <c:v>330.31061999985144</c:v>
                </c:pt>
                <c:pt idx="352">
                  <c:v>332.20204599984902</c:v>
                </c:pt>
                <c:pt idx="353">
                  <c:v>332.20204599984902</c:v>
                </c:pt>
                <c:pt idx="354">
                  <c:v>334.09347199984654</c:v>
                </c:pt>
                <c:pt idx="355">
                  <c:v>334.09347199984654</c:v>
                </c:pt>
                <c:pt idx="356">
                  <c:v>335.97863499984413</c:v>
                </c:pt>
                <c:pt idx="357">
                  <c:v>335.97863499984413</c:v>
                </c:pt>
                <c:pt idx="358">
                  <c:v>337.86379799984172</c:v>
                </c:pt>
                <c:pt idx="359">
                  <c:v>337.86379799984172</c:v>
                </c:pt>
                <c:pt idx="360">
                  <c:v>339.74896099983931</c:v>
                </c:pt>
                <c:pt idx="361">
                  <c:v>339.74896099983931</c:v>
                </c:pt>
                <c:pt idx="362">
                  <c:v>341.63412399983685</c:v>
                </c:pt>
                <c:pt idx="363">
                  <c:v>341.63412399983685</c:v>
                </c:pt>
                <c:pt idx="364">
                  <c:v>343.52554999983442</c:v>
                </c:pt>
                <c:pt idx="365">
                  <c:v>343.52554999983442</c:v>
                </c:pt>
                <c:pt idx="366">
                  <c:v>345.416975999832</c:v>
                </c:pt>
                <c:pt idx="367">
                  <c:v>345.416975999832</c:v>
                </c:pt>
                <c:pt idx="368">
                  <c:v>347.30840199982958</c:v>
                </c:pt>
                <c:pt idx="369">
                  <c:v>347.30840199982958</c:v>
                </c:pt>
                <c:pt idx="370">
                  <c:v>349.19356499982717</c:v>
                </c:pt>
                <c:pt idx="371">
                  <c:v>349.19356499982717</c:v>
                </c:pt>
                <c:pt idx="372">
                  <c:v>351.07872799982471</c:v>
                </c:pt>
                <c:pt idx="373">
                  <c:v>351.07872799982471</c:v>
                </c:pt>
                <c:pt idx="374">
                  <c:v>352.9638909998223</c:v>
                </c:pt>
                <c:pt idx="375">
                  <c:v>352.9638909998223</c:v>
                </c:pt>
                <c:pt idx="376">
                  <c:v>354.84905399981989</c:v>
                </c:pt>
                <c:pt idx="377">
                  <c:v>354.84905399981989</c:v>
                </c:pt>
                <c:pt idx="378">
                  <c:v>356.73421699981748</c:v>
                </c:pt>
                <c:pt idx="379">
                  <c:v>356.73421699981748</c:v>
                </c:pt>
                <c:pt idx="380">
                  <c:v>358.61937999981501</c:v>
                </c:pt>
                <c:pt idx="381">
                  <c:v>358.61937999981501</c:v>
                </c:pt>
              </c:numCache>
            </c:numRef>
          </c:xVal>
          <c:yVal>
            <c:numRef>
              <c:f>DTDRpat_result0!$C$2:$C$383</c:f>
              <c:numCache>
                <c:formatCode>General</c:formatCode>
                <c:ptCount val="382"/>
                <c:pt idx="0">
                  <c:v>0.76553154821114489</c:v>
                </c:pt>
                <c:pt idx="1">
                  <c:v>0.76553222983503211</c:v>
                </c:pt>
                <c:pt idx="2">
                  <c:v>0.76574952089896986</c:v>
                </c:pt>
                <c:pt idx="3">
                  <c:v>0.76615628466548003</c:v>
                </c:pt>
                <c:pt idx="4">
                  <c:v>0.76682693044694394</c:v>
                </c:pt>
                <c:pt idx="5">
                  <c:v>0.7676461295266962</c:v>
                </c:pt>
                <c:pt idx="6">
                  <c:v>0.76873783614158708</c:v>
                </c:pt>
                <c:pt idx="7">
                  <c:v>0.76996594023584419</c:v>
                </c:pt>
                <c:pt idx="8">
                  <c:v>0.7715271016327474</c:v>
                </c:pt>
                <c:pt idx="9">
                  <c:v>0.77317096974331267</c:v>
                </c:pt>
                <c:pt idx="10">
                  <c:v>0.77515910730172488</c:v>
                </c:pt>
                <c:pt idx="11">
                  <c:v>0.77721965621702371</c:v>
                </c:pt>
                <c:pt idx="12">
                  <c:v>0.77964114291464504</c:v>
                </c:pt>
                <c:pt idx="13">
                  <c:v>0.78212155328387012</c:v>
                </c:pt>
                <c:pt idx="14">
                  <c:v>0.78499365275840993</c:v>
                </c:pt>
                <c:pt idx="15">
                  <c:v>0.78789919071528991</c:v>
                </c:pt>
                <c:pt idx="16">
                  <c:v>0.79129479041058948</c:v>
                </c:pt>
                <c:pt idx="17">
                  <c:v>0.79463595160548972</c:v>
                </c:pt>
                <c:pt idx="18">
                  <c:v>0.79845830764062209</c:v>
                </c:pt>
                <c:pt idx="19">
                  <c:v>0.80223905087823977</c:v>
                </c:pt>
                <c:pt idx="20">
                  <c:v>0.80673619263485163</c:v>
                </c:pt>
                <c:pt idx="21">
                  <c:v>0.81097450295228735</c:v>
                </c:pt>
                <c:pt idx="22">
                  <c:v>0.81589476259946803</c:v>
                </c:pt>
                <c:pt idx="23">
                  <c:v>0.82059448660373957</c:v>
                </c:pt>
                <c:pt idx="24">
                  <c:v>0.82599281744181885</c:v>
                </c:pt>
                <c:pt idx="25">
                  <c:v>0.83116113899558752</c:v>
                </c:pt>
                <c:pt idx="26">
                  <c:v>0.83703903788638334</c:v>
                </c:pt>
                <c:pt idx="27">
                  <c:v>0.84268320824221477</c:v>
                </c:pt>
                <c:pt idx="28">
                  <c:v>0.84908358128755057</c:v>
                </c:pt>
                <c:pt idx="29">
                  <c:v>0.85521266688525266</c:v>
                </c:pt>
                <c:pt idx="30">
                  <c:v>0.86201084721670607</c:v>
                </c:pt>
                <c:pt idx="31">
                  <c:v>0.86862883334228347</c:v>
                </c:pt>
                <c:pt idx="32">
                  <c:v>0.87604939270330795</c:v>
                </c:pt>
                <c:pt idx="33">
                  <c:v>0.88316792725745508</c:v>
                </c:pt>
                <c:pt idx="34">
                  <c:v>0.89113370600026121</c:v>
                </c:pt>
                <c:pt idx="35">
                  <c:v>0.8987606317127026</c:v>
                </c:pt>
                <c:pt idx="36">
                  <c:v>0.90727956574925894</c:v>
                </c:pt>
                <c:pt idx="37">
                  <c:v>0.91542160617285817</c:v>
                </c:pt>
                <c:pt idx="38">
                  <c:v>0.92438274668756681</c:v>
                </c:pt>
                <c:pt idx="39">
                  <c:v>0.93304190513670637</c:v>
                </c:pt>
                <c:pt idx="40">
                  <c:v>0.94255675294783459</c:v>
                </c:pt>
                <c:pt idx="41">
                  <c:v>0.95173641923541985</c:v>
                </c:pt>
                <c:pt idx="42">
                  <c:v>0.96193942627063078</c:v>
                </c:pt>
                <c:pt idx="43">
                  <c:v>0.97164410756698028</c:v>
                </c:pt>
                <c:pt idx="44">
                  <c:v>0.98241374750127086</c:v>
                </c:pt>
                <c:pt idx="45">
                  <c:v>0.99264144331994997</c:v>
                </c:pt>
                <c:pt idx="46">
                  <c:v>1.0039736398000254</c:v>
                </c:pt>
                <c:pt idx="47">
                  <c:v>1.0147184869236126</c:v>
                </c:pt>
                <c:pt idx="48">
                  <c:v>1.0264512251383444</c:v>
                </c:pt>
                <c:pt idx="49">
                  <c:v>1.0376995660492969</c:v>
                </c:pt>
                <c:pt idx="50">
                  <c:v>1.0501220133350664</c:v>
                </c:pt>
                <c:pt idx="51">
                  <c:v>1.0618614207652153</c:v>
                </c:pt>
                <c:pt idx="52">
                  <c:v>1.0746367754545711</c:v>
                </c:pt>
                <c:pt idx="53">
                  <c:v>1.086842075095424</c:v>
                </c:pt>
                <c:pt idx="54">
                  <c:v>1.1003591244022248</c:v>
                </c:pt>
                <c:pt idx="55">
                  <c:v>1.1130054562351519</c:v>
                </c:pt>
                <c:pt idx="56">
                  <c:v>1.1267147454310638</c:v>
                </c:pt>
                <c:pt idx="57">
                  <c:v>1.139760120875301</c:v>
                </c:pt>
                <c:pt idx="58">
                  <c:v>1.1540550889611485</c:v>
                </c:pt>
                <c:pt idx="59">
                  <c:v>1.167455075507368</c:v>
                </c:pt>
                <c:pt idx="60">
                  <c:v>1.1820096257950159</c:v>
                </c:pt>
                <c:pt idx="61">
                  <c:v>1.1957056194270375</c:v>
                </c:pt>
                <c:pt idx="62">
                  <c:v>1.2104472448837067</c:v>
                </c:pt>
                <c:pt idx="63">
                  <c:v>1.2243702209036156</c:v>
                </c:pt>
                <c:pt idx="64">
                  <c:v>1.2396032934128545</c:v>
                </c:pt>
                <c:pt idx="65">
                  <c:v>1.2536744904401596</c:v>
                </c:pt>
                <c:pt idx="66">
                  <c:v>1.2687274289262667</c:v>
                </c:pt>
                <c:pt idx="67">
                  <c:v>1.2828528591606909</c:v>
                </c:pt>
                <c:pt idx="68">
                  <c:v>1.2981036660626879</c:v>
                </c:pt>
                <c:pt idx="69">
                  <c:v>1.3121779632942214</c:v>
                </c:pt>
                <c:pt idx="70">
                  <c:v>1.3272150180900186</c:v>
                </c:pt>
                <c:pt idx="71">
                  <c:v>1.3411206181655277</c:v>
                </c:pt>
                <c:pt idx="72">
                  <c:v>1.3560030415046458</c:v>
                </c:pt>
                <c:pt idx="73">
                  <c:v>1.3696096298871139</c:v>
                </c:pt>
                <c:pt idx="74">
                  <c:v>1.384094468888158</c:v>
                </c:pt>
                <c:pt idx="75">
                  <c:v>1.3972618553054683</c:v>
                </c:pt>
                <c:pt idx="76">
                  <c:v>1.4110174079026572</c:v>
                </c:pt>
                <c:pt idx="77">
                  <c:v>1.4236016500125133</c:v>
                </c:pt>
                <c:pt idx="78">
                  <c:v>1.4366546766020232</c:v>
                </c:pt>
                <c:pt idx="79">
                  <c:v>1.4485040641889306</c:v>
                </c:pt>
                <c:pt idx="80">
                  <c:v>1.4609222927234276</c:v>
                </c:pt>
                <c:pt idx="81">
                  <c:v>1.4718733071359267</c:v>
                </c:pt>
                <c:pt idx="82">
                  <c:v>1.4830196063696095</c:v>
                </c:pt>
                <c:pt idx="83">
                  <c:v>1.4929284750017962</c:v>
                </c:pt>
                <c:pt idx="84">
                  <c:v>1.503008482030177</c:v>
                </c:pt>
                <c:pt idx="85">
                  <c:v>1.5117211447897798</c:v>
                </c:pt>
                <c:pt idx="86">
                  <c:v>1.5204330086413893</c:v>
                </c:pt>
                <c:pt idx="87">
                  <c:v>1.5278129557933033</c:v>
                </c:pt>
                <c:pt idx="88">
                  <c:v>1.5350170827898713</c:v>
                </c:pt>
                <c:pt idx="89">
                  <c:v>1.5409436776259029</c:v>
                </c:pt>
                <c:pt idx="90">
                  <c:v>1.5464545784376864</c:v>
                </c:pt>
                <c:pt idx="91">
                  <c:v>1.5508380789775169</c:v>
                </c:pt>
                <c:pt idx="92">
                  <c:v>1.5546594086023018</c:v>
                </c:pt>
                <c:pt idx="93">
                  <c:v>1.5574246811127035</c:v>
                </c:pt>
                <c:pt idx="94">
                  <c:v>1.5595109675374601</c:v>
                </c:pt>
                <c:pt idx="95">
                  <c:v>1.5605986063012423</c:v>
                </c:pt>
                <c:pt idx="96">
                  <c:v>1.5608575588335951</c:v>
                </c:pt>
                <c:pt idx="97">
                  <c:v>1.5602481484925601</c:v>
                </c:pt>
                <c:pt idx="98">
                  <c:v>1.5586751526579292</c:v>
                </c:pt>
                <c:pt idx="99">
                  <c:v>1.5563795725338141</c:v>
                </c:pt>
                <c:pt idx="100">
                  <c:v>1.5530515217967622</c:v>
                </c:pt>
                <c:pt idx="101">
                  <c:v>1.5491211932034479</c:v>
                </c:pt>
                <c:pt idx="102">
                  <c:v>1.5440818652770425</c:v>
                </c:pt>
                <c:pt idx="103">
                  <c:v>1.5385845248662786</c:v>
                </c:pt>
                <c:pt idx="104">
                  <c:v>1.5317827888038533</c:v>
                </c:pt>
                <c:pt idx="105">
                  <c:v>1.5247967928524322</c:v>
                </c:pt>
                <c:pt idx="106">
                  <c:v>1.5164921278805823</c:v>
                </c:pt>
                <c:pt idx="107">
                  <c:v>1.508137986487019</c:v>
                </c:pt>
                <c:pt idx="108">
                  <c:v>1.498552744672361</c:v>
                </c:pt>
                <c:pt idx="109">
                  <c:v>1.4889707200226003</c:v>
                </c:pt>
                <c:pt idx="110">
                  <c:v>1.4781506002792066</c:v>
                </c:pt>
                <c:pt idx="111">
                  <c:v>1.4674837185842364</c:v>
                </c:pt>
                <c:pt idx="112">
                  <c:v>1.4555858978620495</c:v>
                </c:pt>
                <c:pt idx="113">
                  <c:v>1.4439847615473016</c:v>
                </c:pt>
                <c:pt idx="114">
                  <c:v>1.4309197249144525</c:v>
                </c:pt>
                <c:pt idx="115">
                  <c:v>1.4185309644263149</c:v>
                </c:pt>
                <c:pt idx="116">
                  <c:v>1.4047832930548423</c:v>
                </c:pt>
                <c:pt idx="117">
                  <c:v>1.3917645319061382</c:v>
                </c:pt>
                <c:pt idx="118">
                  <c:v>1.3774180444104358</c:v>
                </c:pt>
                <c:pt idx="119">
                  <c:v>1.3639194511580113</c:v>
                </c:pt>
                <c:pt idx="120">
                  <c:v>1.3491327270068565</c:v>
                </c:pt>
                <c:pt idx="121">
                  <c:v>1.3352969966172294</c:v>
                </c:pt>
                <c:pt idx="122">
                  <c:v>1.3204121749717097</c:v>
                </c:pt>
                <c:pt idx="123">
                  <c:v>1.3063732023741921</c:v>
                </c:pt>
                <c:pt idx="124">
                  <c:v>1.2913371490167564</c:v>
                </c:pt>
                <c:pt idx="125">
                  <c:v>1.2772150620189824</c:v>
                </c:pt>
                <c:pt idx="126">
                  <c:v>1.2621496851317111</c:v>
                </c:pt>
                <c:pt idx="127">
                  <c:v>1.2480526610973697</c:v>
                </c:pt>
                <c:pt idx="128">
                  <c:v>1.232970126695021</c:v>
                </c:pt>
                <c:pt idx="129">
                  <c:v>1.2189944900754224</c:v>
                </c:pt>
                <c:pt idx="130">
                  <c:v>1.2038984555364707</c:v>
                </c:pt>
                <c:pt idx="131">
                  <c:v>1.190129718778022</c:v>
                </c:pt>
                <c:pt idx="132">
                  <c:v>1.1753933661672187</c:v>
                </c:pt>
                <c:pt idx="133">
                  <c:v>1.1619032987592812</c:v>
                </c:pt>
                <c:pt idx="134">
                  <c:v>1.1475023848890711</c:v>
                </c:pt>
                <c:pt idx="135">
                  <c:v>1.1343517063884523</c:v>
                </c:pt>
                <c:pt idx="136">
                  <c:v>1.1203459825918307</c:v>
                </c:pt>
                <c:pt idx="137">
                  <c:v>1.1075848383599709</c:v>
                </c:pt>
                <c:pt idx="138">
                  <c:v>1.0940230609110597</c:v>
                </c:pt>
                <c:pt idx="139">
                  <c:v>1.081691836903627</c:v>
                </c:pt>
                <c:pt idx="140">
                  <c:v>1.0686128672209794</c:v>
                </c:pt>
                <c:pt idx="141">
                  <c:v>1.0567433071781032</c:v>
                </c:pt>
                <c:pt idx="142">
                  <c:v>1.0442563663427851</c:v>
                </c:pt>
                <c:pt idx="143">
                  <c:v>1.0328708579969692</c:v>
                </c:pt>
                <c:pt idx="144">
                  <c:v>1.0209896159282073</c:v>
                </c:pt>
                <c:pt idx="145">
                  <c:v>1.0101038196464127</c:v>
                </c:pt>
                <c:pt idx="146">
                  <c:v>0.9986179471023533</c:v>
                </c:pt>
                <c:pt idx="147">
                  <c:v>0.98824698801104505</c:v>
                </c:pt>
                <c:pt idx="148">
                  <c:v>0.97732170202158231</c:v>
                </c:pt>
                <c:pt idx="149">
                  <c:v>0.96747255381774011</c:v>
                </c:pt>
                <c:pt idx="150">
                  <c:v>0.95711323001992288</c:v>
                </c:pt>
                <c:pt idx="151">
                  <c:v>0.94778887056928796</c:v>
                </c:pt>
                <c:pt idx="152">
                  <c:v>0.93805838459426361</c:v>
                </c:pt>
                <c:pt idx="153">
                  <c:v>0.9292568307636162</c:v>
                </c:pt>
                <c:pt idx="154">
                  <c:v>0.9200285127502823</c:v>
                </c:pt>
                <c:pt idx="155">
                  <c:v>0.91174858676516846</c:v>
                </c:pt>
                <c:pt idx="156">
                  <c:v>0.90313590098223151</c:v>
                </c:pt>
                <c:pt idx="157">
                  <c:v>0.89537102424629089</c:v>
                </c:pt>
                <c:pt idx="158">
                  <c:v>0.88735890706319354</c:v>
                </c:pt>
                <c:pt idx="159">
                  <c:v>0.88010100567725569</c:v>
                </c:pt>
                <c:pt idx="160">
                  <c:v>0.87253106512126077</c:v>
                </c:pt>
                <c:pt idx="161">
                  <c:v>0.86577591876757787</c:v>
                </c:pt>
                <c:pt idx="162">
                  <c:v>0.85883276596130842</c:v>
                </c:pt>
                <c:pt idx="163">
                  <c:v>0.8525688929419929</c:v>
                </c:pt>
                <c:pt idx="164">
                  <c:v>0.84606398514260728</c:v>
                </c:pt>
                <c:pt idx="165">
                  <c:v>0.84028587406864141</c:v>
                </c:pt>
                <c:pt idx="166">
                  <c:v>0.83437568187033295</c:v>
                </c:pt>
                <c:pt idx="167">
                  <c:v>0.829071309713031</c:v>
                </c:pt>
                <c:pt idx="168">
                  <c:v>0.8236618166441142</c:v>
                </c:pt>
                <c:pt idx="169">
                  <c:v>0.81882238735566026</c:v>
                </c:pt>
                <c:pt idx="170">
                  <c:v>0.81390434374903009</c:v>
                </c:pt>
                <c:pt idx="171">
                  <c:v>0.80952137797645762</c:v>
                </c:pt>
                <c:pt idx="172">
                  <c:v>0.80503019654132946</c:v>
                </c:pt>
                <c:pt idx="173">
                  <c:v>0.80109849706467384</c:v>
                </c:pt>
                <c:pt idx="174">
                  <c:v>0.79709067733073591</c:v>
                </c:pt>
                <c:pt idx="175">
                  <c:v>0.79360252271971254</c:v>
                </c:pt>
                <c:pt idx="176">
                  <c:v>0.79011348390872072</c:v>
                </c:pt>
                <c:pt idx="177">
                  <c:v>0.78705886696310434</c:v>
                </c:pt>
                <c:pt idx="178">
                  <c:v>0.78399125819915483</c:v>
                </c:pt>
                <c:pt idx="179">
                  <c:v>0.78136662432149706</c:v>
                </c:pt>
                <c:pt idx="180">
                  <c:v>0.77876048848779211</c:v>
                </c:pt>
                <c:pt idx="181">
                  <c:v>0.77656024466139928</c:v>
                </c:pt>
                <c:pt idx="182">
                  <c:v>0.77443582644649522</c:v>
                </c:pt>
                <c:pt idx="183">
                  <c:v>0.77265232284515484</c:v>
                </c:pt>
                <c:pt idx="184">
                  <c:v>0.77095005061913247</c:v>
                </c:pt>
                <c:pt idx="185">
                  <c:v>0.76958203642840739</c:v>
                </c:pt>
                <c:pt idx="186">
                  <c:v>0.76832699149426031</c:v>
                </c:pt>
                <c:pt idx="187">
                  <c:v>0.76737144830688808</c:v>
                </c:pt>
                <c:pt idx="188">
                  <c:v>0.76656079046536862</c:v>
                </c:pt>
                <c:pt idx="189">
                  <c:v>0.76601547895199606</c:v>
                </c:pt>
                <c:pt idx="190">
                  <c:v>0.76564896710133157</c:v>
                </c:pt>
                <c:pt idx="191">
                  <c:v>0.76551133126074333</c:v>
                </c:pt>
                <c:pt idx="192">
                  <c:v>0.76558337890031947</c:v>
                </c:pt>
                <c:pt idx="193">
                  <c:v>0.76585442496161282</c:v>
                </c:pt>
                <c:pt idx="194">
                  <c:v>0.76636828496399589</c:v>
                </c:pt>
                <c:pt idx="195">
                  <c:v>0.76704867458645665</c:v>
                </c:pt>
                <c:pt idx="196">
                  <c:v>0.76799870686251703</c:v>
                </c:pt>
                <c:pt idx="197">
                  <c:v>0.76908861380167759</c:v>
                </c:pt>
                <c:pt idx="198">
                  <c:v>0.77048923409596359</c:v>
                </c:pt>
                <c:pt idx="199">
                  <c:v>0.77199246152213996</c:v>
                </c:pt>
                <c:pt idx="200">
                  <c:v>0.77382893660567287</c:v>
                </c:pt>
                <c:pt idx="201">
                  <c:v>0.77574752513656342</c:v>
                </c:pt>
                <c:pt idx="202">
                  <c:v>0.77803212224472384</c:v>
                </c:pt>
                <c:pt idx="203">
                  <c:v>0.78037029788973733</c:v>
                </c:pt>
                <c:pt idx="204">
                  <c:v>0.78308970732828032</c:v>
                </c:pt>
                <c:pt idx="205">
                  <c:v>0.78585120275855957</c:v>
                </c:pt>
                <c:pt idx="206">
                  <c:v>0.78904642788290369</c:v>
                </c:pt>
                <c:pt idx="207">
                  <c:v>0.79223844965687218</c:v>
                </c:pt>
                <c:pt idx="208">
                  <c:v>0.79587510685019847</c:v>
                </c:pt>
                <c:pt idx="209">
                  <c:v>0.79950280420296382</c:v>
                </c:pt>
                <c:pt idx="210">
                  <c:v>0.80366268447508793</c:v>
                </c:pt>
                <c:pt idx="211">
                  <c:v>0.80773628373244621</c:v>
                </c:pt>
                <c:pt idx="212">
                  <c:v>0.81235179188121132</c:v>
                </c:pt>
                <c:pt idx="213">
                  <c:v>0.81687774265941682</c:v>
                </c:pt>
                <c:pt idx="214">
                  <c:v>0.82201686807113905</c:v>
                </c:pt>
                <c:pt idx="215">
                  <c:v>0.82700498218903673</c:v>
                </c:pt>
                <c:pt idx="216">
                  <c:v>0.83264823425740586</c:v>
                </c:pt>
                <c:pt idx="217">
                  <c:v>0.83810730388648103</c:v>
                </c:pt>
                <c:pt idx="218">
                  <c:v>0.84422410082842847</c:v>
                </c:pt>
                <c:pt idx="219">
                  <c:v>0.85016136816237287</c:v>
                </c:pt>
                <c:pt idx="220">
                  <c:v>0.85679641238455051</c:v>
                </c:pt>
                <c:pt idx="221">
                  <c:v>0.8632207442102573</c:v>
                </c:pt>
                <c:pt idx="222">
                  <c:v>0.87038339474712989</c:v>
                </c:pt>
                <c:pt idx="223">
                  <c:v>0.8773033567288443</c:v>
                </c:pt>
                <c:pt idx="224">
                  <c:v>0.88500260734615299</c:v>
                </c:pt>
                <c:pt idx="225">
                  <c:v>0.89242626467344033</c:v>
                </c:pt>
                <c:pt idx="226">
                  <c:v>0.90067032560591909</c:v>
                </c:pt>
                <c:pt idx="227">
                  <c:v>0.90860487489088992</c:v>
                </c:pt>
                <c:pt idx="228">
                  <c:v>0.91734350133349341</c:v>
                </c:pt>
                <c:pt idx="229">
                  <c:v>0.9257931479433793</c:v>
                </c:pt>
                <c:pt idx="230">
                  <c:v>0.9352056973817886</c:v>
                </c:pt>
                <c:pt idx="231">
                  <c:v>0.94417827104190499</c:v>
                </c:pt>
                <c:pt idx="232">
                  <c:v>0.95415719005047384</c:v>
                </c:pt>
                <c:pt idx="233">
                  <c:v>0.96365469610085608</c:v>
                </c:pt>
                <c:pt idx="234">
                  <c:v>0.974132764424818</c:v>
                </c:pt>
                <c:pt idx="235">
                  <c:v>0.984152716331817</c:v>
                </c:pt>
                <c:pt idx="236">
                  <c:v>0.9951899898475578</c:v>
                </c:pt>
                <c:pt idx="237">
                  <c:v>1.0057282071033389</c:v>
                </c:pt>
                <c:pt idx="238">
                  <c:v>1.0173180776282613</c:v>
                </c:pt>
                <c:pt idx="239">
                  <c:v>1.028366186943021</c:v>
                </c:pt>
                <c:pt idx="240">
                  <c:v>1.0405757311982144</c:v>
                </c:pt>
                <c:pt idx="241">
                  <c:v>1.052121967876553</c:v>
                </c:pt>
                <c:pt idx="242">
                  <c:v>1.0648600106980766</c:v>
                </c:pt>
                <c:pt idx="243">
                  <c:v>1.0768847855581327</c:v>
                </c:pt>
                <c:pt idx="244">
                  <c:v>1.0900414327378096</c:v>
                </c:pt>
                <c:pt idx="245">
                  <c:v>1.1025168783803498</c:v>
                </c:pt>
                <c:pt idx="246">
                  <c:v>1.116140075123222</c:v>
                </c:pt>
                <c:pt idx="247">
                  <c:v>1.1290318974140383</c:v>
                </c:pt>
                <c:pt idx="248">
                  <c:v>1.1429895365446612</c:v>
                </c:pt>
                <c:pt idx="249">
                  <c:v>1.1562534886641829</c:v>
                </c:pt>
                <c:pt idx="250">
                  <c:v>1.1707675743949155</c:v>
                </c:pt>
                <c:pt idx="251">
                  <c:v>1.184352925947052</c:v>
                </c:pt>
                <c:pt idx="252">
                  <c:v>1.1989911089092462</c:v>
                </c:pt>
                <c:pt idx="253">
                  <c:v>1.2128320754268329</c:v>
                </c:pt>
                <c:pt idx="254">
                  <c:v>1.2278008333488855</c:v>
                </c:pt>
                <c:pt idx="255">
                  <c:v>1.2418228838549845</c:v>
                </c:pt>
                <c:pt idx="256">
                  <c:v>1.2568434922420888</c:v>
                </c:pt>
                <c:pt idx="257">
                  <c:v>1.2709587458671889</c:v>
                </c:pt>
                <c:pt idx="258">
                  <c:v>1.2860273461528884</c:v>
                </c:pt>
                <c:pt idx="259">
                  <c:v>1.300136314616251</c:v>
                </c:pt>
                <c:pt idx="260">
                  <c:v>1.3153334421768803</c:v>
                </c:pt>
                <c:pt idx="261">
                  <c:v>1.3293230867763146</c:v>
                </c:pt>
                <c:pt idx="262">
                  <c:v>1.3443250954217574</c:v>
                </c:pt>
                <c:pt idx="263">
                  <c:v>1.35807005421071</c:v>
                </c:pt>
                <c:pt idx="264">
                  <c:v>1.3726426647590624</c:v>
                </c:pt>
                <c:pt idx="265">
                  <c:v>1.3860082620908756</c:v>
                </c:pt>
                <c:pt idx="266">
                  <c:v>1.4000971288357953</c:v>
                </c:pt>
                <c:pt idx="267">
                  <c:v>1.4129390276040183</c:v>
                </c:pt>
                <c:pt idx="268">
                  <c:v>1.426470331536162</c:v>
                </c:pt>
                <c:pt idx="269">
                  <c:v>1.4386351302968738</c:v>
                </c:pt>
                <c:pt idx="270">
                  <c:v>1.4513510173761037</c:v>
                </c:pt>
                <c:pt idx="271">
                  <c:v>1.4626832589502501</c:v>
                </c:pt>
                <c:pt idx="272">
                  <c:v>1.4744153331425986</c:v>
                </c:pt>
                <c:pt idx="273">
                  <c:v>1.4847597783964022</c:v>
                </c:pt>
                <c:pt idx="274">
                  <c:v>1.4952767178344202</c:v>
                </c:pt>
                <c:pt idx="275">
                  <c:v>1.5044866554793819</c:v>
                </c:pt>
                <c:pt idx="276">
                  <c:v>1.5137653807143405</c:v>
                </c:pt>
                <c:pt idx="277">
                  <c:v>1.521695762714796</c:v>
                </c:pt>
                <c:pt idx="278">
                  <c:v>1.5295207042568635</c:v>
                </c:pt>
                <c:pt idx="279">
                  <c:v>1.536043948188367</c:v>
                </c:pt>
                <c:pt idx="280">
                  <c:v>1.5422867346501468</c:v>
                </c:pt>
                <c:pt idx="281">
                  <c:v>1.5472938446749307</c:v>
                </c:pt>
                <c:pt idx="282">
                  <c:v>1.5518223316072357</c:v>
                </c:pt>
                <c:pt idx="283">
                  <c:v>1.5552326177328268</c:v>
                </c:pt>
                <c:pt idx="284">
                  <c:v>1.5580110107098952</c:v>
                </c:pt>
                <c:pt idx="285">
                  <c:v>1.5597649188262011</c:v>
                </c:pt>
                <c:pt idx="286">
                  <c:v>1.5607443670847312</c:v>
                </c:pt>
                <c:pt idx="287">
                  <c:v>1.5608109045976737</c:v>
                </c:pt>
                <c:pt idx="288">
                  <c:v>1.5599740212094433</c:v>
                </c:pt>
                <c:pt idx="289">
                  <c:v>1.5583520189535935</c:v>
                </c:pt>
                <c:pt idx="290">
                  <c:v>1.5556937548389544</c:v>
                </c:pt>
                <c:pt idx="291">
                  <c:v>1.5524064718828825</c:v>
                </c:pt>
                <c:pt idx="292">
                  <c:v>1.5480073527059588</c:v>
                </c:pt>
                <c:pt idx="293">
                  <c:v>1.5431177706733259</c:v>
                </c:pt>
                <c:pt idx="294">
                  <c:v>1.537040014664337</c:v>
                </c:pt>
                <c:pt idx="295">
                  <c:v>1.5306318877651484</c:v>
                </c:pt>
                <c:pt idx="296">
                  <c:v>1.5229781584189475</c:v>
                </c:pt>
                <c:pt idx="297">
                  <c:v>1.5151581171902708</c:v>
                </c:pt>
                <c:pt idx="298">
                  <c:v>1.5060535444444723</c:v>
                </c:pt>
                <c:pt idx="299">
                  <c:v>1.4969469962217619</c:v>
                </c:pt>
                <c:pt idx="300">
                  <c:v>1.4864656630242357</c:v>
                </c:pt>
                <c:pt idx="301">
                  <c:v>1.4762086151205382</c:v>
                </c:pt>
                <c:pt idx="302">
                  <c:v>1.4647162637082516</c:v>
                </c:pt>
                <c:pt idx="303">
                  <c:v>1.4534650158969107</c:v>
                </c:pt>
                <c:pt idx="304">
                  <c:v>1.440829208017619</c:v>
                </c:pt>
                <c:pt idx="305">
                  <c:v>1.4287316122899656</c:v>
                </c:pt>
                <c:pt idx="306">
                  <c:v>1.4153526030053751</c:v>
                </c:pt>
                <c:pt idx="307">
                  <c:v>1.402566326835142</c:v>
                </c:pt>
                <c:pt idx="308">
                  <c:v>1.3885297643129237</c:v>
                </c:pt>
                <c:pt idx="309">
                  <c:v>1.375206152390354</c:v>
                </c:pt>
                <c:pt idx="310">
                  <c:v>1.3607655316576561</c:v>
                </c:pt>
                <c:pt idx="311">
                  <c:v>1.3470507063235759</c:v>
                </c:pt>
                <c:pt idx="312">
                  <c:v>1.3320743684090723</c:v>
                </c:pt>
                <c:pt idx="313">
                  <c:v>1.3181024189156274</c:v>
                </c:pt>
                <c:pt idx="314">
                  <c:v>1.3030150412686112</c:v>
                </c:pt>
                <c:pt idx="315">
                  <c:v>1.288912596377594</c:v>
                </c:pt>
                <c:pt idx="316">
                  <c:v>1.2737478255362595</c:v>
                </c:pt>
                <c:pt idx="317">
                  <c:v>1.2596286762233708</c:v>
                </c:pt>
                <c:pt idx="318">
                  <c:v>1.2445020832587141</c:v>
                </c:pt>
                <c:pt idx="319">
                  <c:v>1.2304676157904324</c:v>
                </c:pt>
                <c:pt idx="320">
                  <c:v>1.2153854784865972</c:v>
                </c:pt>
                <c:pt idx="321">
                  <c:v>1.2015252491216566</c:v>
                </c:pt>
                <c:pt idx="322">
                  <c:v>1.1866746277034985</c:v>
                </c:pt>
                <c:pt idx="323">
                  <c:v>1.1730657100567712</c:v>
                </c:pt>
                <c:pt idx="324">
                  <c:v>1.1585234444698607</c:v>
                </c:pt>
                <c:pt idx="325">
                  <c:v>1.1452310877819185</c:v>
                </c:pt>
                <c:pt idx="326">
                  <c:v>1.1310616057065837</c:v>
                </c:pt>
                <c:pt idx="327">
                  <c:v>1.1181400546231763</c:v>
                </c:pt>
                <c:pt idx="328">
                  <c:v>1.1044832557862692</c:v>
                </c:pt>
                <c:pt idx="329">
                  <c:v>1.091975210765024</c:v>
                </c:pt>
                <c:pt idx="330">
                  <c:v>1.0787821696758828</c:v>
                </c:pt>
                <c:pt idx="331">
                  <c:v>1.0667224569152647</c:v>
                </c:pt>
                <c:pt idx="332">
                  <c:v>1.0540262827795821</c:v>
                </c:pt>
                <c:pt idx="333">
                  <c:v>1.0424417749674277</c:v>
                </c:pt>
                <c:pt idx="334">
                  <c:v>1.0302673306773578</c:v>
                </c:pt>
                <c:pt idx="335">
                  <c:v>1.0191779351701531</c:v>
                </c:pt>
                <c:pt idx="336">
                  <c:v>1.0074695253888886</c:v>
                </c:pt>
                <c:pt idx="337">
                  <c:v>0.99689084715344689</c:v>
                </c:pt>
                <c:pt idx="338">
                  <c:v>0.98580983178362502</c:v>
                </c:pt>
                <c:pt idx="339">
                  <c:v>0.97574893726914624</c:v>
                </c:pt>
                <c:pt idx="340">
                  <c:v>0.96522675111093548</c:v>
                </c:pt>
                <c:pt idx="341">
                  <c:v>0.95568814300854044</c:v>
                </c:pt>
                <c:pt idx="342">
                  <c:v>0.94572771428002977</c:v>
                </c:pt>
                <c:pt idx="343">
                  <c:v>0.93671233362699491</c:v>
                </c:pt>
                <c:pt idx="344">
                  <c:v>0.92731304184407604</c:v>
                </c:pt>
                <c:pt idx="345">
                  <c:v>0.91881904818248805</c:v>
                </c:pt>
                <c:pt idx="346">
                  <c:v>0.90997758189898315</c:v>
                </c:pt>
                <c:pt idx="347">
                  <c:v>0.90200086543900837</c:v>
                </c:pt>
                <c:pt idx="348">
                  <c:v>0.8936595848473492</c:v>
                </c:pt>
                <c:pt idx="349">
                  <c:v>0.88619604785973716</c:v>
                </c:pt>
                <c:pt idx="350">
                  <c:v>0.87840549272204727</c:v>
                </c:pt>
                <c:pt idx="351">
                  <c:v>0.87144785886129017</c:v>
                </c:pt>
                <c:pt idx="352">
                  <c:v>0.86419979065889907</c:v>
                </c:pt>
                <c:pt idx="353">
                  <c:v>0.8577400915777027</c:v>
                </c:pt>
                <c:pt idx="354">
                  <c:v>0.85102543275867715</c:v>
                </c:pt>
                <c:pt idx="355">
                  <c:v>0.84505503347162636</c:v>
                </c:pt>
                <c:pt idx="356">
                  <c:v>0.83890293900122026</c:v>
                </c:pt>
                <c:pt idx="357">
                  <c:v>0.83341136866570709</c:v>
                </c:pt>
                <c:pt idx="358">
                  <c:v>0.82776865175149028</c:v>
                </c:pt>
                <c:pt idx="359">
                  <c:v>0.82274700694448866</c:v>
                </c:pt>
                <c:pt idx="360">
                  <c:v>0.81760422845495584</c:v>
                </c:pt>
                <c:pt idx="361">
                  <c:v>0.81304389694270807</c:v>
                </c:pt>
                <c:pt idx="362">
                  <c:v>0.80839179923698734</c:v>
                </c:pt>
                <c:pt idx="363">
                  <c:v>0.80428442981820558</c:v>
                </c:pt>
                <c:pt idx="364">
                  <c:v>0.80008837442548608</c:v>
                </c:pt>
                <c:pt idx="365">
                  <c:v>0.79642746335422909</c:v>
                </c:pt>
                <c:pt idx="366">
                  <c:v>0.79270981600661228</c:v>
                </c:pt>
                <c:pt idx="367">
                  <c:v>0.78948798950637245</c:v>
                </c:pt>
                <c:pt idx="368">
                  <c:v>0.78624114215867835</c:v>
                </c:pt>
                <c:pt idx="369">
                  <c:v>0.78345170204715853</c:v>
                </c:pt>
                <c:pt idx="370">
                  <c:v>0.78068568664445082</c:v>
                </c:pt>
                <c:pt idx="371">
                  <c:v>0.77832135668542968</c:v>
                </c:pt>
                <c:pt idx="372">
                  <c:v>0.77600881193740512</c:v>
                </c:pt>
                <c:pt idx="373">
                  <c:v>0.77406433732947044</c:v>
                </c:pt>
                <c:pt idx="374">
                  <c:v>0.77220022850099423</c:v>
                </c:pt>
                <c:pt idx="375">
                  <c:v>0.7706713320438402</c:v>
                </c:pt>
                <c:pt idx="376">
                  <c:v>0.76925150192657465</c:v>
                </c:pt>
                <c:pt idx="377">
                  <c:v>0.76813478409311753</c:v>
                </c:pt>
                <c:pt idx="378">
                  <c:v>0.7671559625334553</c:v>
                </c:pt>
                <c:pt idx="379">
                  <c:v>0.76644892878151982</c:v>
                </c:pt>
                <c:pt idx="380">
                  <c:v>0.76590894446355462</c:v>
                </c:pt>
                <c:pt idx="381">
                  <c:v>0.76560998898490984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F6-4800-BCAB-9449775B9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3559711"/>
        <c:axId val="763560191"/>
      </c:scatterChart>
      <c:valAx>
        <c:axId val="763559711"/>
        <c:scaling>
          <c:orientation val="minMax"/>
          <c:max val="3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63560191"/>
        <c:crosses val="autoZero"/>
        <c:crossBetween val="midCat"/>
        <c:majorUnit val="90"/>
      </c:valAx>
      <c:valAx>
        <c:axId val="763560191"/>
        <c:scaling>
          <c:orientation val="minMax"/>
          <c:max val="1.9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63559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gap of angle (mrad) F=8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DTDRpat_result0!$I$1</c:f>
              <c:strCache>
                <c:ptCount val="1"/>
                <c:pt idx="0">
                  <c:v>F=8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DTDRpat_result0!$H$2:$H$427</c:f>
              <c:numCache>
                <c:formatCode>General</c:formatCode>
                <c:ptCount val="426"/>
                <c:pt idx="0">
                  <c:v>6.2630000000000012E-3</c:v>
                </c:pt>
                <c:pt idx="1">
                  <c:v>6.2630000000000012E-3</c:v>
                </c:pt>
                <c:pt idx="2">
                  <c:v>1.8851630000000021</c:v>
                </c:pt>
                <c:pt idx="3">
                  <c:v>1.8851630000000021</c:v>
                </c:pt>
                <c:pt idx="4">
                  <c:v>3.7891150000000429</c:v>
                </c:pt>
                <c:pt idx="5">
                  <c:v>3.7891150000000429</c:v>
                </c:pt>
                <c:pt idx="6">
                  <c:v>5.6680149999999898</c:v>
                </c:pt>
                <c:pt idx="7">
                  <c:v>5.6680149999999898</c:v>
                </c:pt>
                <c:pt idx="8">
                  <c:v>7.5657039999999816</c:v>
                </c:pt>
                <c:pt idx="9">
                  <c:v>7.5657039999999816</c:v>
                </c:pt>
                <c:pt idx="10">
                  <c:v>9.4508670000001374</c:v>
                </c:pt>
                <c:pt idx="11">
                  <c:v>9.4508670000001374</c:v>
                </c:pt>
                <c:pt idx="12">
                  <c:v>11.329767000000343</c:v>
                </c:pt>
                <c:pt idx="13">
                  <c:v>11.329767000000343</c:v>
                </c:pt>
                <c:pt idx="14">
                  <c:v>13.208667000000569</c:v>
                </c:pt>
                <c:pt idx="15">
                  <c:v>13.208667000000569</c:v>
                </c:pt>
                <c:pt idx="16">
                  <c:v>15.106356000000735</c:v>
                </c:pt>
                <c:pt idx="17">
                  <c:v>15.106356000000735</c:v>
                </c:pt>
                <c:pt idx="18">
                  <c:v>16.991519000000864</c:v>
                </c:pt>
                <c:pt idx="19">
                  <c:v>16.991519000000864</c:v>
                </c:pt>
                <c:pt idx="20">
                  <c:v>18.920523000001062</c:v>
                </c:pt>
                <c:pt idx="21">
                  <c:v>18.920523000001062</c:v>
                </c:pt>
                <c:pt idx="22">
                  <c:v>20.830738000001276</c:v>
                </c:pt>
                <c:pt idx="23">
                  <c:v>20.830738000001276</c:v>
                </c:pt>
                <c:pt idx="24">
                  <c:v>22.734690000001489</c:v>
                </c:pt>
                <c:pt idx="25">
                  <c:v>22.734690000001489</c:v>
                </c:pt>
                <c:pt idx="26">
                  <c:v>24.632379000001709</c:v>
                </c:pt>
                <c:pt idx="27">
                  <c:v>24.632379000001709</c:v>
                </c:pt>
                <c:pt idx="28">
                  <c:v>26.530068000001961</c:v>
                </c:pt>
                <c:pt idx="29">
                  <c:v>26.530068000001961</c:v>
                </c:pt>
                <c:pt idx="30">
                  <c:v>28.408968000002208</c:v>
                </c:pt>
                <c:pt idx="31">
                  <c:v>28.408968000002208</c:v>
                </c:pt>
                <c:pt idx="32">
                  <c:v>30.300394000002274</c:v>
                </c:pt>
                <c:pt idx="33">
                  <c:v>30.300394000002274</c:v>
                </c:pt>
                <c:pt idx="34">
                  <c:v>32.191820000002224</c:v>
                </c:pt>
                <c:pt idx="35">
                  <c:v>32.191820000002224</c:v>
                </c:pt>
                <c:pt idx="36">
                  <c:v>34.083246000001388</c:v>
                </c:pt>
                <c:pt idx="37">
                  <c:v>34.083246000001388</c:v>
                </c:pt>
                <c:pt idx="38">
                  <c:v>35.962146000000565</c:v>
                </c:pt>
                <c:pt idx="39">
                  <c:v>35.962146000000565</c:v>
                </c:pt>
                <c:pt idx="40">
                  <c:v>37.841045999999736</c:v>
                </c:pt>
                <c:pt idx="41">
                  <c:v>37.841045999999736</c:v>
                </c:pt>
                <c:pt idx="42">
                  <c:v>39.732471999998907</c:v>
                </c:pt>
                <c:pt idx="43">
                  <c:v>39.732471999998907</c:v>
                </c:pt>
                <c:pt idx="44">
                  <c:v>41.623897999998071</c:v>
                </c:pt>
                <c:pt idx="45">
                  <c:v>41.623897999998071</c:v>
                </c:pt>
                <c:pt idx="46">
                  <c:v>43.515323999997243</c:v>
                </c:pt>
                <c:pt idx="47">
                  <c:v>43.515323999997243</c:v>
                </c:pt>
                <c:pt idx="48">
                  <c:v>45.394223999996413</c:v>
                </c:pt>
                <c:pt idx="49">
                  <c:v>45.394223999996413</c:v>
                </c:pt>
                <c:pt idx="50">
                  <c:v>47.285649999995584</c:v>
                </c:pt>
                <c:pt idx="51">
                  <c:v>47.285649999995584</c:v>
                </c:pt>
                <c:pt idx="52">
                  <c:v>49.164549999994755</c:v>
                </c:pt>
                <c:pt idx="53">
                  <c:v>49.164549999994755</c:v>
                </c:pt>
                <c:pt idx="54">
                  <c:v>51.062238999993923</c:v>
                </c:pt>
                <c:pt idx="55">
                  <c:v>51.062238999993923</c:v>
                </c:pt>
                <c:pt idx="56">
                  <c:v>52.9411389999931</c:v>
                </c:pt>
                <c:pt idx="57">
                  <c:v>52.9411389999931</c:v>
                </c:pt>
                <c:pt idx="58">
                  <c:v>54.832564999992265</c:v>
                </c:pt>
                <c:pt idx="59">
                  <c:v>54.832564999992265</c:v>
                </c:pt>
                <c:pt idx="60">
                  <c:v>56.717727999991439</c:v>
                </c:pt>
                <c:pt idx="61">
                  <c:v>56.717727999991439</c:v>
                </c:pt>
                <c:pt idx="62">
                  <c:v>58.59662799999041</c:v>
                </c:pt>
                <c:pt idx="63">
                  <c:v>58.59662799999041</c:v>
                </c:pt>
                <c:pt idx="64">
                  <c:v>60.494316999989287</c:v>
                </c:pt>
                <c:pt idx="65">
                  <c:v>60.494316999989287</c:v>
                </c:pt>
                <c:pt idx="66">
                  <c:v>62.37321699998818</c:v>
                </c:pt>
                <c:pt idx="67">
                  <c:v>62.37321699998818</c:v>
                </c:pt>
                <c:pt idx="68">
                  <c:v>64.264642999987458</c:v>
                </c:pt>
                <c:pt idx="69">
                  <c:v>64.264642999987458</c:v>
                </c:pt>
                <c:pt idx="70">
                  <c:v>66.149805999988899</c:v>
                </c:pt>
                <c:pt idx="71">
                  <c:v>66.149805999988899</c:v>
                </c:pt>
                <c:pt idx="72">
                  <c:v>68.04123199999033</c:v>
                </c:pt>
                <c:pt idx="73">
                  <c:v>68.04123199999033</c:v>
                </c:pt>
                <c:pt idx="74">
                  <c:v>69.932657999992031</c:v>
                </c:pt>
                <c:pt idx="75">
                  <c:v>69.932657999992031</c:v>
                </c:pt>
                <c:pt idx="76">
                  <c:v>71.811557999993852</c:v>
                </c:pt>
                <c:pt idx="77">
                  <c:v>71.811557999993852</c:v>
                </c:pt>
                <c:pt idx="78">
                  <c:v>73.690457999995672</c:v>
                </c:pt>
                <c:pt idx="79">
                  <c:v>73.690457999995672</c:v>
                </c:pt>
                <c:pt idx="80">
                  <c:v>75.588146999997534</c:v>
                </c:pt>
                <c:pt idx="81">
                  <c:v>75.588146999997534</c:v>
                </c:pt>
                <c:pt idx="82">
                  <c:v>77.467046999999354</c:v>
                </c:pt>
                <c:pt idx="83">
                  <c:v>77.467046999999354</c:v>
                </c:pt>
                <c:pt idx="84">
                  <c:v>79.358473000001183</c:v>
                </c:pt>
                <c:pt idx="85">
                  <c:v>79.358473000001183</c:v>
                </c:pt>
                <c:pt idx="86">
                  <c:v>81.24989900000304</c:v>
                </c:pt>
                <c:pt idx="87">
                  <c:v>81.24989900000304</c:v>
                </c:pt>
                <c:pt idx="88">
                  <c:v>83.141325000004883</c:v>
                </c:pt>
                <c:pt idx="89">
                  <c:v>83.141325000004883</c:v>
                </c:pt>
                <c:pt idx="90">
                  <c:v>85.020225000006718</c:v>
                </c:pt>
                <c:pt idx="91">
                  <c:v>85.020225000006718</c:v>
                </c:pt>
                <c:pt idx="92">
                  <c:v>86.899125000008539</c:v>
                </c:pt>
                <c:pt idx="93">
                  <c:v>86.899125000008539</c:v>
                </c:pt>
                <c:pt idx="94">
                  <c:v>88.790551000010367</c:v>
                </c:pt>
                <c:pt idx="95">
                  <c:v>88.790551000010367</c:v>
                </c:pt>
                <c:pt idx="96">
                  <c:v>90.681977000012225</c:v>
                </c:pt>
                <c:pt idx="97">
                  <c:v>90.681977000012225</c:v>
                </c:pt>
                <c:pt idx="98">
                  <c:v>92.573403000014096</c:v>
                </c:pt>
                <c:pt idx="99">
                  <c:v>92.573403000014096</c:v>
                </c:pt>
                <c:pt idx="100">
                  <c:v>94.452303000016087</c:v>
                </c:pt>
                <c:pt idx="101">
                  <c:v>94.452303000016087</c:v>
                </c:pt>
                <c:pt idx="102">
                  <c:v>96.331203000018064</c:v>
                </c:pt>
                <c:pt idx="103">
                  <c:v>96.331203000018064</c:v>
                </c:pt>
                <c:pt idx="104">
                  <c:v>98.228892000020082</c:v>
                </c:pt>
                <c:pt idx="105">
                  <c:v>98.228892000020082</c:v>
                </c:pt>
                <c:pt idx="106">
                  <c:v>100.12031800002208</c:v>
                </c:pt>
                <c:pt idx="107">
                  <c:v>100.12031800002208</c:v>
                </c:pt>
                <c:pt idx="108">
                  <c:v>101.99921800002406</c:v>
                </c:pt>
                <c:pt idx="109">
                  <c:v>101.99921800002406</c:v>
                </c:pt>
                <c:pt idx="110">
                  <c:v>103.87811800002605</c:v>
                </c:pt>
                <c:pt idx="111">
                  <c:v>103.87811800002605</c:v>
                </c:pt>
                <c:pt idx="112">
                  <c:v>105.75701800002803</c:v>
                </c:pt>
                <c:pt idx="113">
                  <c:v>105.75701800002803</c:v>
                </c:pt>
                <c:pt idx="114">
                  <c:v>107.65470700003004</c:v>
                </c:pt>
                <c:pt idx="115">
                  <c:v>107.65470700003004</c:v>
                </c:pt>
                <c:pt idx="116">
                  <c:v>109.54613300003204</c:v>
                </c:pt>
                <c:pt idx="117">
                  <c:v>109.54613300003204</c:v>
                </c:pt>
                <c:pt idx="118">
                  <c:v>111.43755900003404</c:v>
                </c:pt>
                <c:pt idx="119">
                  <c:v>111.43755900003404</c:v>
                </c:pt>
                <c:pt idx="120">
                  <c:v>113.32898500003604</c:v>
                </c:pt>
                <c:pt idx="121">
                  <c:v>113.32898500003604</c:v>
                </c:pt>
                <c:pt idx="122">
                  <c:v>115.20788500003803</c:v>
                </c:pt>
                <c:pt idx="123">
                  <c:v>115.20788500003803</c:v>
                </c:pt>
                <c:pt idx="124">
                  <c:v>117.08678500003998</c:v>
                </c:pt>
                <c:pt idx="125">
                  <c:v>117.08678500003998</c:v>
                </c:pt>
                <c:pt idx="126">
                  <c:v>118.96568500004193</c:v>
                </c:pt>
                <c:pt idx="127">
                  <c:v>118.96568500004193</c:v>
                </c:pt>
                <c:pt idx="128">
                  <c:v>120.85084800004387</c:v>
                </c:pt>
                <c:pt idx="129">
                  <c:v>120.85084800004387</c:v>
                </c:pt>
                <c:pt idx="130">
                  <c:v>122.74853700004584</c:v>
                </c:pt>
                <c:pt idx="131">
                  <c:v>122.74853700004584</c:v>
                </c:pt>
                <c:pt idx="132">
                  <c:v>124.6399630000478</c:v>
                </c:pt>
                <c:pt idx="133">
                  <c:v>124.6399630000478</c:v>
                </c:pt>
                <c:pt idx="134">
                  <c:v>126.53138900004976</c:v>
                </c:pt>
                <c:pt idx="135">
                  <c:v>126.53138900004976</c:v>
                </c:pt>
                <c:pt idx="136">
                  <c:v>128.42281500005069</c:v>
                </c:pt>
                <c:pt idx="137">
                  <c:v>128.42281500005069</c:v>
                </c:pt>
                <c:pt idx="138">
                  <c:v>130.31424100004827</c:v>
                </c:pt>
                <c:pt idx="139">
                  <c:v>130.31424100004827</c:v>
                </c:pt>
                <c:pt idx="140">
                  <c:v>132.20566700004582</c:v>
                </c:pt>
                <c:pt idx="141">
                  <c:v>132.20566700004582</c:v>
                </c:pt>
                <c:pt idx="142">
                  <c:v>134.09083000004341</c:v>
                </c:pt>
                <c:pt idx="143">
                  <c:v>134.09083000004341</c:v>
                </c:pt>
                <c:pt idx="144">
                  <c:v>135.96973000004098</c:v>
                </c:pt>
                <c:pt idx="145">
                  <c:v>135.96973000004098</c:v>
                </c:pt>
                <c:pt idx="146">
                  <c:v>137.86115600003856</c:v>
                </c:pt>
                <c:pt idx="147">
                  <c:v>137.86115600003856</c:v>
                </c:pt>
                <c:pt idx="148">
                  <c:v>139.75258200003611</c:v>
                </c:pt>
                <c:pt idx="149">
                  <c:v>139.75258200003611</c:v>
                </c:pt>
                <c:pt idx="150">
                  <c:v>141.64400800003369</c:v>
                </c:pt>
                <c:pt idx="151">
                  <c:v>141.64400800003369</c:v>
                </c:pt>
                <c:pt idx="152">
                  <c:v>143.52917100003125</c:v>
                </c:pt>
                <c:pt idx="153">
                  <c:v>143.52917100003125</c:v>
                </c:pt>
                <c:pt idx="154">
                  <c:v>145.42059700002883</c:v>
                </c:pt>
                <c:pt idx="155">
                  <c:v>145.42059700002883</c:v>
                </c:pt>
                <c:pt idx="156">
                  <c:v>147.30576000002642</c:v>
                </c:pt>
                <c:pt idx="157">
                  <c:v>147.30576000002642</c:v>
                </c:pt>
                <c:pt idx="158">
                  <c:v>149.184660000024</c:v>
                </c:pt>
                <c:pt idx="159">
                  <c:v>149.184660000024</c:v>
                </c:pt>
                <c:pt idx="160">
                  <c:v>151.07608600002158</c:v>
                </c:pt>
                <c:pt idx="161">
                  <c:v>151.07608600002158</c:v>
                </c:pt>
                <c:pt idx="162">
                  <c:v>152.95498600001915</c:v>
                </c:pt>
                <c:pt idx="163">
                  <c:v>152.95498600001915</c:v>
                </c:pt>
                <c:pt idx="164">
                  <c:v>154.8464120000167</c:v>
                </c:pt>
                <c:pt idx="165">
                  <c:v>154.8464120000167</c:v>
                </c:pt>
                <c:pt idx="166">
                  <c:v>156.7253120000143</c:v>
                </c:pt>
                <c:pt idx="167">
                  <c:v>156.7253120000143</c:v>
                </c:pt>
                <c:pt idx="168">
                  <c:v>158.60421200001187</c:v>
                </c:pt>
                <c:pt idx="169">
                  <c:v>158.60421200001187</c:v>
                </c:pt>
                <c:pt idx="170">
                  <c:v>160.48311200000947</c:v>
                </c:pt>
                <c:pt idx="171">
                  <c:v>160.48311200000947</c:v>
                </c:pt>
                <c:pt idx="172">
                  <c:v>162.37453800000702</c:v>
                </c:pt>
                <c:pt idx="173">
                  <c:v>162.37453800000702</c:v>
                </c:pt>
                <c:pt idx="174">
                  <c:v>164.2659640000046</c:v>
                </c:pt>
                <c:pt idx="175">
                  <c:v>164.2659640000046</c:v>
                </c:pt>
                <c:pt idx="176">
                  <c:v>166.14486400000217</c:v>
                </c:pt>
                <c:pt idx="177">
                  <c:v>166.14486400000217</c:v>
                </c:pt>
                <c:pt idx="178">
                  <c:v>168.03628999999975</c:v>
                </c:pt>
                <c:pt idx="179">
                  <c:v>168.03628999999975</c:v>
                </c:pt>
                <c:pt idx="180">
                  <c:v>169.9277159999973</c:v>
                </c:pt>
                <c:pt idx="181">
                  <c:v>169.9277159999973</c:v>
                </c:pt>
                <c:pt idx="182">
                  <c:v>171.8066159999949</c:v>
                </c:pt>
                <c:pt idx="183">
                  <c:v>171.8066159999949</c:v>
                </c:pt>
                <c:pt idx="184">
                  <c:v>173.69804199999245</c:v>
                </c:pt>
                <c:pt idx="185">
                  <c:v>173.69804199999245</c:v>
                </c:pt>
                <c:pt idx="186">
                  <c:v>175.58946799999003</c:v>
                </c:pt>
                <c:pt idx="187">
                  <c:v>175.58946799999003</c:v>
                </c:pt>
                <c:pt idx="188">
                  <c:v>177.48089399998759</c:v>
                </c:pt>
                <c:pt idx="189">
                  <c:v>177.48089399998759</c:v>
                </c:pt>
                <c:pt idx="190">
                  <c:v>179.36605699998518</c:v>
                </c:pt>
                <c:pt idx="191">
                  <c:v>179.36605699998518</c:v>
                </c:pt>
                <c:pt idx="192">
                  <c:v>181.25748299998276</c:v>
                </c:pt>
                <c:pt idx="193">
                  <c:v>181.25748299998276</c:v>
                </c:pt>
                <c:pt idx="194">
                  <c:v>183.14890899998031</c:v>
                </c:pt>
                <c:pt idx="195">
                  <c:v>183.14890899998031</c:v>
                </c:pt>
                <c:pt idx="196">
                  <c:v>185.0340719999779</c:v>
                </c:pt>
                <c:pt idx="197">
                  <c:v>185.0340719999779</c:v>
                </c:pt>
                <c:pt idx="198">
                  <c:v>186.92549799997545</c:v>
                </c:pt>
                <c:pt idx="199">
                  <c:v>186.92549799997545</c:v>
                </c:pt>
                <c:pt idx="200">
                  <c:v>188.81066099997304</c:v>
                </c:pt>
                <c:pt idx="201">
                  <c:v>188.81066099997304</c:v>
                </c:pt>
                <c:pt idx="202">
                  <c:v>190.6958239999706</c:v>
                </c:pt>
                <c:pt idx="203">
                  <c:v>190.6958239999706</c:v>
                </c:pt>
                <c:pt idx="204">
                  <c:v>192.5747239999682</c:v>
                </c:pt>
                <c:pt idx="205">
                  <c:v>192.5747239999682</c:v>
                </c:pt>
                <c:pt idx="206">
                  <c:v>194.45988699996576</c:v>
                </c:pt>
                <c:pt idx="207">
                  <c:v>194.45988699996576</c:v>
                </c:pt>
                <c:pt idx="208">
                  <c:v>196.33878699996336</c:v>
                </c:pt>
                <c:pt idx="209">
                  <c:v>196.33878699996336</c:v>
                </c:pt>
                <c:pt idx="210">
                  <c:v>198.23021299996091</c:v>
                </c:pt>
                <c:pt idx="211">
                  <c:v>198.23021299996091</c:v>
                </c:pt>
                <c:pt idx="212">
                  <c:v>200.1153759999585</c:v>
                </c:pt>
                <c:pt idx="213">
                  <c:v>200.1153759999585</c:v>
                </c:pt>
                <c:pt idx="214">
                  <c:v>202.00680199995605</c:v>
                </c:pt>
                <c:pt idx="215">
                  <c:v>202.00680199995605</c:v>
                </c:pt>
                <c:pt idx="216">
                  <c:v>203.89822799995363</c:v>
                </c:pt>
                <c:pt idx="217">
                  <c:v>203.89822799995363</c:v>
                </c:pt>
                <c:pt idx="218">
                  <c:v>205.78339099995119</c:v>
                </c:pt>
                <c:pt idx="219">
                  <c:v>205.78339099995119</c:v>
                </c:pt>
                <c:pt idx="220">
                  <c:v>207.66855399994878</c:v>
                </c:pt>
                <c:pt idx="221">
                  <c:v>207.66855399994878</c:v>
                </c:pt>
                <c:pt idx="222">
                  <c:v>209.55371699994635</c:v>
                </c:pt>
                <c:pt idx="223">
                  <c:v>209.55371699994635</c:v>
                </c:pt>
                <c:pt idx="224">
                  <c:v>211.43887999994394</c:v>
                </c:pt>
                <c:pt idx="225">
                  <c:v>211.43887999994394</c:v>
                </c:pt>
                <c:pt idx="226">
                  <c:v>213.3240429999415</c:v>
                </c:pt>
                <c:pt idx="227">
                  <c:v>213.3240429999415</c:v>
                </c:pt>
                <c:pt idx="228">
                  <c:v>215.2029429999391</c:v>
                </c:pt>
                <c:pt idx="229">
                  <c:v>215.2029429999391</c:v>
                </c:pt>
                <c:pt idx="230">
                  <c:v>217.09436899993665</c:v>
                </c:pt>
                <c:pt idx="231">
                  <c:v>217.09436899993665</c:v>
                </c:pt>
                <c:pt idx="232">
                  <c:v>218.98579499993423</c:v>
                </c:pt>
                <c:pt idx="233">
                  <c:v>218.98579499993423</c:v>
                </c:pt>
                <c:pt idx="234">
                  <c:v>220.87095799993179</c:v>
                </c:pt>
                <c:pt idx="235">
                  <c:v>220.87095799993179</c:v>
                </c:pt>
                <c:pt idx="236">
                  <c:v>222.75612099992938</c:v>
                </c:pt>
                <c:pt idx="237">
                  <c:v>222.75612099992938</c:v>
                </c:pt>
                <c:pt idx="238">
                  <c:v>224.64128399992694</c:v>
                </c:pt>
                <c:pt idx="239">
                  <c:v>224.64128399992694</c:v>
                </c:pt>
                <c:pt idx="240">
                  <c:v>226.53270999992452</c:v>
                </c:pt>
                <c:pt idx="241">
                  <c:v>226.53270999992452</c:v>
                </c:pt>
                <c:pt idx="242">
                  <c:v>228.42413599992207</c:v>
                </c:pt>
                <c:pt idx="243">
                  <c:v>228.42413599992207</c:v>
                </c:pt>
                <c:pt idx="244">
                  <c:v>230.30929899992211</c:v>
                </c:pt>
                <c:pt idx="245">
                  <c:v>230.30929899992211</c:v>
                </c:pt>
                <c:pt idx="246">
                  <c:v>232.19446199992382</c:v>
                </c:pt>
                <c:pt idx="247">
                  <c:v>232.19446199992382</c:v>
                </c:pt>
                <c:pt idx="248">
                  <c:v>234.07336199992565</c:v>
                </c:pt>
                <c:pt idx="249">
                  <c:v>234.07336199992565</c:v>
                </c:pt>
                <c:pt idx="250">
                  <c:v>235.96478799992752</c:v>
                </c:pt>
                <c:pt idx="251">
                  <c:v>235.96478799992752</c:v>
                </c:pt>
                <c:pt idx="252">
                  <c:v>237.84368799992936</c:v>
                </c:pt>
                <c:pt idx="253">
                  <c:v>237.84368799992936</c:v>
                </c:pt>
                <c:pt idx="254">
                  <c:v>239.72885099993115</c:v>
                </c:pt>
                <c:pt idx="255">
                  <c:v>239.72885099993115</c:v>
                </c:pt>
                <c:pt idx="256">
                  <c:v>241.60775099993299</c:v>
                </c:pt>
                <c:pt idx="257">
                  <c:v>241.60775099993299</c:v>
                </c:pt>
                <c:pt idx="258">
                  <c:v>243.48665099993485</c:v>
                </c:pt>
                <c:pt idx="259">
                  <c:v>243.48665099993485</c:v>
                </c:pt>
                <c:pt idx="260">
                  <c:v>245.37807699993664</c:v>
                </c:pt>
                <c:pt idx="261">
                  <c:v>245.37807699993664</c:v>
                </c:pt>
                <c:pt idx="262">
                  <c:v>247.26950299993851</c:v>
                </c:pt>
                <c:pt idx="263">
                  <c:v>247.26950299993851</c:v>
                </c:pt>
                <c:pt idx="264">
                  <c:v>249.15466599994036</c:v>
                </c:pt>
                <c:pt idx="265">
                  <c:v>249.15466599994036</c:v>
                </c:pt>
                <c:pt idx="266">
                  <c:v>251.03982899994216</c:v>
                </c:pt>
                <c:pt idx="267">
                  <c:v>251.03982899994216</c:v>
                </c:pt>
                <c:pt idx="268">
                  <c:v>252.931254999944</c:v>
                </c:pt>
                <c:pt idx="269">
                  <c:v>252.931254999944</c:v>
                </c:pt>
                <c:pt idx="270">
                  <c:v>254.82268099994587</c:v>
                </c:pt>
                <c:pt idx="271">
                  <c:v>254.82268099994587</c:v>
                </c:pt>
                <c:pt idx="272">
                  <c:v>256.71410699994607</c:v>
                </c:pt>
                <c:pt idx="273">
                  <c:v>256.71410699994607</c:v>
                </c:pt>
                <c:pt idx="274">
                  <c:v>258.59926999994366</c:v>
                </c:pt>
                <c:pt idx="275">
                  <c:v>258.59926999994366</c:v>
                </c:pt>
                <c:pt idx="276">
                  <c:v>260.49069599994124</c:v>
                </c:pt>
                <c:pt idx="277">
                  <c:v>260.49069599994124</c:v>
                </c:pt>
                <c:pt idx="278">
                  <c:v>262.38212199993882</c:v>
                </c:pt>
                <c:pt idx="279">
                  <c:v>262.38212199993882</c:v>
                </c:pt>
                <c:pt idx="280">
                  <c:v>264.27354799993634</c:v>
                </c:pt>
                <c:pt idx="281">
                  <c:v>264.27354799993634</c:v>
                </c:pt>
                <c:pt idx="282">
                  <c:v>266.15871099993393</c:v>
                </c:pt>
                <c:pt idx="283">
                  <c:v>266.15871099993393</c:v>
                </c:pt>
                <c:pt idx="284">
                  <c:v>268.04387399993152</c:v>
                </c:pt>
                <c:pt idx="285">
                  <c:v>268.04387399993152</c:v>
                </c:pt>
                <c:pt idx="286">
                  <c:v>269.92903699992911</c:v>
                </c:pt>
                <c:pt idx="287">
                  <c:v>269.92903699992911</c:v>
                </c:pt>
                <c:pt idx="288">
                  <c:v>271.81419999992664</c:v>
                </c:pt>
                <c:pt idx="289">
                  <c:v>271.81419999992664</c:v>
                </c:pt>
                <c:pt idx="290">
                  <c:v>273.70562599992422</c:v>
                </c:pt>
                <c:pt idx="291">
                  <c:v>273.70562599992422</c:v>
                </c:pt>
                <c:pt idx="292">
                  <c:v>275.59078899992181</c:v>
                </c:pt>
                <c:pt idx="293">
                  <c:v>275.59078899992181</c:v>
                </c:pt>
                <c:pt idx="294">
                  <c:v>277.4759519999194</c:v>
                </c:pt>
                <c:pt idx="295">
                  <c:v>277.4759519999194</c:v>
                </c:pt>
                <c:pt idx="296">
                  <c:v>279.36111499991694</c:v>
                </c:pt>
                <c:pt idx="297">
                  <c:v>279.36111499991694</c:v>
                </c:pt>
                <c:pt idx="298">
                  <c:v>281.24627799991453</c:v>
                </c:pt>
                <c:pt idx="299">
                  <c:v>281.24627799991453</c:v>
                </c:pt>
                <c:pt idx="300">
                  <c:v>283.13770399991211</c:v>
                </c:pt>
                <c:pt idx="301">
                  <c:v>283.13770399991211</c:v>
                </c:pt>
                <c:pt idx="302">
                  <c:v>285.01660399990971</c:v>
                </c:pt>
                <c:pt idx="303">
                  <c:v>285.01660399990971</c:v>
                </c:pt>
                <c:pt idx="304">
                  <c:v>286.90802999990723</c:v>
                </c:pt>
                <c:pt idx="305">
                  <c:v>286.90802999990723</c:v>
                </c:pt>
                <c:pt idx="306">
                  <c:v>288.79319299990482</c:v>
                </c:pt>
                <c:pt idx="307">
                  <c:v>288.79319299990482</c:v>
                </c:pt>
                <c:pt idx="308">
                  <c:v>290.67835599990241</c:v>
                </c:pt>
                <c:pt idx="309">
                  <c:v>290.67835599990241</c:v>
                </c:pt>
                <c:pt idx="310">
                  <c:v>292.55725599990001</c:v>
                </c:pt>
                <c:pt idx="311">
                  <c:v>292.55725599990001</c:v>
                </c:pt>
                <c:pt idx="312">
                  <c:v>294.44868199989753</c:v>
                </c:pt>
                <c:pt idx="313">
                  <c:v>294.44868199989753</c:v>
                </c:pt>
                <c:pt idx="314">
                  <c:v>296.33384499989512</c:v>
                </c:pt>
                <c:pt idx="315">
                  <c:v>296.33384499989512</c:v>
                </c:pt>
                <c:pt idx="316">
                  <c:v>298.21900799989271</c:v>
                </c:pt>
                <c:pt idx="317">
                  <c:v>298.21900799989271</c:v>
                </c:pt>
                <c:pt idx="318">
                  <c:v>300.1041709998903</c:v>
                </c:pt>
                <c:pt idx="319">
                  <c:v>300.1041709998903</c:v>
                </c:pt>
                <c:pt idx="320">
                  <c:v>301.99559699988788</c:v>
                </c:pt>
                <c:pt idx="321">
                  <c:v>301.99559699988788</c:v>
                </c:pt>
                <c:pt idx="322">
                  <c:v>303.8870229998854</c:v>
                </c:pt>
                <c:pt idx="323">
                  <c:v>303.8870229998854</c:v>
                </c:pt>
                <c:pt idx="324">
                  <c:v>305.77844899988298</c:v>
                </c:pt>
                <c:pt idx="325">
                  <c:v>305.77844899988298</c:v>
                </c:pt>
                <c:pt idx="326">
                  <c:v>307.66987499988056</c:v>
                </c:pt>
                <c:pt idx="327">
                  <c:v>307.66987499988056</c:v>
                </c:pt>
                <c:pt idx="328">
                  <c:v>309.55503799987815</c:v>
                </c:pt>
                <c:pt idx="329">
                  <c:v>309.55503799987815</c:v>
                </c:pt>
                <c:pt idx="330">
                  <c:v>311.44020099987569</c:v>
                </c:pt>
                <c:pt idx="331">
                  <c:v>311.44020099987569</c:v>
                </c:pt>
                <c:pt idx="332">
                  <c:v>313.32536399987328</c:v>
                </c:pt>
                <c:pt idx="333">
                  <c:v>313.32536399987328</c:v>
                </c:pt>
                <c:pt idx="334">
                  <c:v>315.21052699987086</c:v>
                </c:pt>
                <c:pt idx="335">
                  <c:v>315.21052699987086</c:v>
                </c:pt>
                <c:pt idx="336">
                  <c:v>317.10195299986844</c:v>
                </c:pt>
                <c:pt idx="337">
                  <c:v>317.10195299986844</c:v>
                </c:pt>
                <c:pt idx="338">
                  <c:v>318.98711599986598</c:v>
                </c:pt>
                <c:pt idx="339">
                  <c:v>318.98711599986598</c:v>
                </c:pt>
                <c:pt idx="340">
                  <c:v>320.87227899986357</c:v>
                </c:pt>
                <c:pt idx="341">
                  <c:v>320.87227899986357</c:v>
                </c:pt>
                <c:pt idx="342">
                  <c:v>322.75744199986116</c:v>
                </c:pt>
                <c:pt idx="343">
                  <c:v>322.75744199986116</c:v>
                </c:pt>
                <c:pt idx="344">
                  <c:v>324.64260499985875</c:v>
                </c:pt>
                <c:pt idx="345">
                  <c:v>324.64260499985875</c:v>
                </c:pt>
                <c:pt idx="346">
                  <c:v>326.52776799985628</c:v>
                </c:pt>
                <c:pt idx="347">
                  <c:v>326.52776799985628</c:v>
                </c:pt>
                <c:pt idx="348">
                  <c:v>328.41919399985386</c:v>
                </c:pt>
                <c:pt idx="349">
                  <c:v>328.41919399985386</c:v>
                </c:pt>
                <c:pt idx="350">
                  <c:v>330.31061999985144</c:v>
                </c:pt>
                <c:pt idx="351">
                  <c:v>330.31061999985144</c:v>
                </c:pt>
                <c:pt idx="352">
                  <c:v>332.20204599984902</c:v>
                </c:pt>
                <c:pt idx="353">
                  <c:v>332.20204599984902</c:v>
                </c:pt>
                <c:pt idx="354">
                  <c:v>334.09347199984654</c:v>
                </c:pt>
                <c:pt idx="355">
                  <c:v>334.09347199984654</c:v>
                </c:pt>
                <c:pt idx="356">
                  <c:v>335.97863499984413</c:v>
                </c:pt>
                <c:pt idx="357">
                  <c:v>335.97863499984413</c:v>
                </c:pt>
                <c:pt idx="358">
                  <c:v>337.86379799984172</c:v>
                </c:pt>
                <c:pt idx="359">
                  <c:v>337.86379799984172</c:v>
                </c:pt>
                <c:pt idx="360">
                  <c:v>339.74896099983931</c:v>
                </c:pt>
                <c:pt idx="361">
                  <c:v>339.74896099983931</c:v>
                </c:pt>
                <c:pt idx="362">
                  <c:v>341.63412399983685</c:v>
                </c:pt>
                <c:pt idx="363">
                  <c:v>341.63412399983685</c:v>
                </c:pt>
                <c:pt idx="364">
                  <c:v>343.52554999983442</c:v>
                </c:pt>
                <c:pt idx="365">
                  <c:v>343.52554999983442</c:v>
                </c:pt>
                <c:pt idx="366">
                  <c:v>345.416975999832</c:v>
                </c:pt>
                <c:pt idx="367">
                  <c:v>345.416975999832</c:v>
                </c:pt>
                <c:pt idx="368">
                  <c:v>347.30840199982958</c:v>
                </c:pt>
                <c:pt idx="369">
                  <c:v>347.30840199982958</c:v>
                </c:pt>
                <c:pt idx="370">
                  <c:v>349.19356499982717</c:v>
                </c:pt>
                <c:pt idx="371">
                  <c:v>349.19356499982717</c:v>
                </c:pt>
                <c:pt idx="372">
                  <c:v>351.07872799982471</c:v>
                </c:pt>
                <c:pt idx="373">
                  <c:v>351.07872799982471</c:v>
                </c:pt>
                <c:pt idx="374">
                  <c:v>352.9638909998223</c:v>
                </c:pt>
                <c:pt idx="375">
                  <c:v>352.9638909998223</c:v>
                </c:pt>
                <c:pt idx="376">
                  <c:v>354.84905399981989</c:v>
                </c:pt>
                <c:pt idx="377">
                  <c:v>354.84905399981989</c:v>
                </c:pt>
                <c:pt idx="378">
                  <c:v>356.73421699981748</c:v>
                </c:pt>
                <c:pt idx="379">
                  <c:v>356.73421699981748</c:v>
                </c:pt>
                <c:pt idx="380">
                  <c:v>358.61937999981501</c:v>
                </c:pt>
                <c:pt idx="381">
                  <c:v>358.61937999981501</c:v>
                </c:pt>
              </c:numCache>
            </c:numRef>
          </c:xVal>
          <c:yVal>
            <c:numRef>
              <c:f>DTDRpat_result0!$I$2:$I$427</c:f>
              <c:numCache>
                <c:formatCode>General</c:formatCode>
                <c:ptCount val="426"/>
                <c:pt idx="0">
                  <c:v>0.84224296081406436</c:v>
                </c:pt>
                <c:pt idx="1">
                  <c:v>0.84224421307871911</c:v>
                </c:pt>
                <c:pt idx="2">
                  <c:v>0.84225612927238447</c:v>
                </c:pt>
                <c:pt idx="3">
                  <c:v>0.8429698180275258</c:v>
                </c:pt>
                <c:pt idx="4">
                  <c:v>0.843020496114677</c:v>
                </c:pt>
                <c:pt idx="5">
                  <c:v>0.8444569301047723</c:v>
                </c:pt>
                <c:pt idx="6">
                  <c:v>0.8445168396950774</c:v>
                </c:pt>
                <c:pt idx="7">
                  <c:v>0.8466677457301055</c:v>
                </c:pt>
                <c:pt idx="8">
                  <c:v>0.84677762431399195</c:v>
                </c:pt>
                <c:pt idx="9">
                  <c:v>0.8496522162967971</c:v>
                </c:pt>
                <c:pt idx="10">
                  <c:v>0.8497713770997436</c:v>
                </c:pt>
                <c:pt idx="11">
                  <c:v>0.85336732022589079</c:v>
                </c:pt>
                <c:pt idx="12">
                  <c:v>0.85349942561556136</c:v>
                </c:pt>
                <c:pt idx="13">
                  <c:v>0.85781736128912001</c:v>
                </c:pt>
                <c:pt idx="14">
                  <c:v>0.85797362674490429</c:v>
                </c:pt>
                <c:pt idx="15">
                  <c:v>0.86301686688944113</c:v>
                </c:pt>
                <c:pt idx="16">
                  <c:v>0.86325345013965216</c:v>
                </c:pt>
                <c:pt idx="17">
                  <c:v>0.86903287219228498</c:v>
                </c:pt>
                <c:pt idx="18">
                  <c:v>0.86925935027228796</c:v>
                </c:pt>
                <c:pt idx="19">
                  <c:v>0.87577387498000425</c:v>
                </c:pt>
                <c:pt idx="20">
                  <c:v>0.87619392975102051</c:v>
                </c:pt>
                <c:pt idx="21">
                  <c:v>0.88346446310720972</c:v>
                </c:pt>
                <c:pt idx="22">
                  <c:v>0.88385149543329522</c:v>
                </c:pt>
                <c:pt idx="23">
                  <c:v>0.8918740963617956</c:v>
                </c:pt>
                <c:pt idx="24">
                  <c:v>0.89227024714715431</c:v>
                </c:pt>
                <c:pt idx="25">
                  <c:v>0.90104534689480142</c:v>
                </c:pt>
                <c:pt idx="26">
                  <c:v>0.90144552195950722</c:v>
                </c:pt>
                <c:pt idx="27">
                  <c:v>0.91097262744076613</c:v>
                </c:pt>
                <c:pt idx="28">
                  <c:v>0.91140570729569748</c:v>
                </c:pt>
                <c:pt idx="29">
                  <c:v>0.92168569034211723</c:v>
                </c:pt>
                <c:pt idx="30">
                  <c:v>0.9220414117228799</c:v>
                </c:pt>
                <c:pt idx="31">
                  <c:v>0.93306608351441045</c:v>
                </c:pt>
                <c:pt idx="32">
                  <c:v>0.93352528235184762</c:v>
                </c:pt>
                <c:pt idx="33">
                  <c:v>0.94529693457348496</c:v>
                </c:pt>
                <c:pt idx="34">
                  <c:v>0.94578610401294438</c:v>
                </c:pt>
                <c:pt idx="35">
                  <c:v>0.95829964321334693</c:v>
                </c:pt>
                <c:pt idx="36">
                  <c:v>0.95881859558582738</c:v>
                </c:pt>
                <c:pt idx="37">
                  <c:v>0.97206590674999449</c:v>
                </c:pt>
                <c:pt idx="38">
                  <c:v>0.97252036718758905</c:v>
                </c:pt>
                <c:pt idx="39">
                  <c:v>0.98648517648010392</c:v>
                </c:pt>
                <c:pt idx="40">
                  <c:v>0.98696335837911631</c:v>
                </c:pt>
                <c:pt idx="41">
                  <c:v>1.0016300860139835</c:v>
                </c:pt>
                <c:pt idx="42">
                  <c:v>1.0022349323818198</c:v>
                </c:pt>
                <c:pt idx="43">
                  <c:v>1.0175878170131476</c:v>
                </c:pt>
                <c:pt idx="44">
                  <c:v>1.0182197768562546</c:v>
                </c:pt>
                <c:pt idx="45">
                  <c:v>1.0342327599858503</c:v>
                </c:pt>
                <c:pt idx="46">
                  <c:v>1.0348907304235335</c:v>
                </c:pt>
                <c:pt idx="47">
                  <c:v>1.0515314683585781</c:v>
                </c:pt>
                <c:pt idx="48">
                  <c:v>1.0520971698499035</c:v>
                </c:pt>
                <c:pt idx="49">
                  <c:v>1.0693224447931688</c:v>
                </c:pt>
                <c:pt idx="50">
                  <c:v>1.0700275675765536</c:v>
                </c:pt>
                <c:pt idx="51">
                  <c:v>1.0877941268009255</c:v>
                </c:pt>
                <c:pt idx="52">
                  <c:v>1.0883958192405991</c:v>
                </c:pt>
                <c:pt idx="53">
                  <c:v>1.1066447965944641</c:v>
                </c:pt>
                <c:pt idx="54">
                  <c:v>1.1074525360911427</c:v>
                </c:pt>
                <c:pt idx="55">
                  <c:v>1.1261234513032323</c:v>
                </c:pt>
                <c:pt idx="56">
                  <c:v>1.126753134519735</c:v>
                </c:pt>
                <c:pt idx="57">
                  <c:v>1.1457672614382679</c:v>
                </c:pt>
                <c:pt idx="58">
                  <c:v>1.1465391023460934</c:v>
                </c:pt>
                <c:pt idx="59">
                  <c:v>1.1658133430431139</c:v>
                </c:pt>
                <c:pt idx="60">
                  <c:v>1.1665270094571463</c:v>
                </c:pt>
                <c:pt idx="61">
                  <c:v>1.1859644354439511</c:v>
                </c:pt>
                <c:pt idx="62">
                  <c:v>1.1866150955776651</c:v>
                </c:pt>
                <c:pt idx="63">
                  <c:v>1.2061087601572846</c:v>
                </c:pt>
                <c:pt idx="64">
                  <c:v>1.2069607317229547</c:v>
                </c:pt>
                <c:pt idx="65">
                  <c:v>1.2263923815768563</c:v>
                </c:pt>
                <c:pt idx="66">
                  <c:v>1.2270388766539113</c:v>
                </c:pt>
                <c:pt idx="67">
                  <c:v>1.2462809928477414</c:v>
                </c:pt>
                <c:pt idx="68">
                  <c:v>1.2470504670392919</c:v>
                </c:pt>
                <c:pt idx="69">
                  <c:v>1.2659630784313836</c:v>
                </c:pt>
                <c:pt idx="70">
                  <c:v>1.2666519772373654</c:v>
                </c:pt>
                <c:pt idx="71">
                  <c:v>1.2850891098495971</c:v>
                </c:pt>
                <c:pt idx="72">
                  <c:v>1.2858201296430585</c:v>
                </c:pt>
                <c:pt idx="73">
                  <c:v>1.3036253265182478</c:v>
                </c:pt>
                <c:pt idx="74">
                  <c:v>1.3043277169953298</c:v>
                </c:pt>
                <c:pt idx="75">
                  <c:v>1.3213406973870367</c:v>
                </c:pt>
                <c:pt idx="76">
                  <c:v>1.3218939115228767</c:v>
                </c:pt>
                <c:pt idx="77">
                  <c:v>1.3379584697725515</c:v>
                </c:pt>
                <c:pt idx="78">
                  <c:v>1.3384772776469351</c:v>
                </c:pt>
                <c:pt idx="79">
                  <c:v>1.353432540572078</c:v>
                </c:pt>
                <c:pt idx="80">
                  <c:v>1.3540596307961013</c:v>
                </c:pt>
                <c:pt idx="81">
                  <c:v>1.3677343796553827</c:v>
                </c:pt>
                <c:pt idx="82">
                  <c:v>1.3681681287332916</c:v>
                </c:pt>
                <c:pt idx="83">
                  <c:v>1.3804231298841068</c:v>
                </c:pt>
                <c:pt idx="84">
                  <c:v>1.380886058336888</c:v>
                </c:pt>
                <c:pt idx="85">
                  <c:v>1.3915692949000149</c:v>
                </c:pt>
                <c:pt idx="86">
                  <c:v>1.3919662020495889</c:v>
                </c:pt>
                <c:pt idx="87">
                  <c:v>1.4009485422586978</c:v>
                </c:pt>
                <c:pt idx="88">
                  <c:v>1.4012745541748064</c:v>
                </c:pt>
                <c:pt idx="89">
                  <c:v>1.4084440493958901</c:v>
                </c:pt>
                <c:pt idx="90">
                  <c:v>1.4086523322485032</c:v>
                </c:pt>
                <c:pt idx="91">
                  <c:v>1.4139303568709802</c:v>
                </c:pt>
                <c:pt idx="92">
                  <c:v>1.4140742223844747</c:v>
                </c:pt>
                <c:pt idx="93">
                  <c:v>1.4173930414547051</c:v>
                </c:pt>
                <c:pt idx="94">
                  <c:v>1.4174863511522617</c:v>
                </c:pt>
                <c:pt idx="95">
                  <c:v>1.4187893976688557</c:v>
                </c:pt>
                <c:pt idx="96">
                  <c:v>1.418800955358366</c:v>
                </c:pt>
                <c:pt idx="97">
                  <c:v>1.4180710163254373</c:v>
                </c:pt>
                <c:pt idx="98">
                  <c:v>1.418000677880136</c:v>
                </c:pt>
                <c:pt idx="99">
                  <c:v>1.4152473934294918</c:v>
                </c:pt>
                <c:pt idx="100">
                  <c:v>1.415122240956431</c:v>
                </c:pt>
                <c:pt idx="101">
                  <c:v>1.4103949002949536</c:v>
                </c:pt>
                <c:pt idx="102">
                  <c:v>1.4102046910295729</c:v>
                </c:pt>
                <c:pt idx="103">
                  <c:v>1.4035642387532896</c:v>
                </c:pt>
                <c:pt idx="104">
                  <c:v>1.4032327774157329</c:v>
                </c:pt>
                <c:pt idx="105">
                  <c:v>1.3947455526224526</c:v>
                </c:pt>
                <c:pt idx="106">
                  <c:v>1.3943679647783072</c:v>
                </c:pt>
                <c:pt idx="107">
                  <c:v>1.3841467507026648</c:v>
                </c:pt>
                <c:pt idx="108">
                  <c:v>1.3837779926120979</c:v>
                </c:pt>
                <c:pt idx="109">
                  <c:v>1.3719576888717961</c:v>
                </c:pt>
                <c:pt idx="110">
                  <c:v>1.3715377579994557</c:v>
                </c:pt>
                <c:pt idx="111">
                  <c:v>1.3582559411160449</c:v>
                </c:pt>
                <c:pt idx="112">
                  <c:v>1.357789622565531</c:v>
                </c:pt>
                <c:pt idx="113">
                  <c:v>1.3431949856413368</c:v>
                </c:pt>
                <c:pt idx="114">
                  <c:v>1.3425300981837973</c:v>
                </c:pt>
                <c:pt idx="115">
                  <c:v>1.3267679726699428</c:v>
                </c:pt>
                <c:pt idx="116">
                  <c:v>1.3261117688924235</c:v>
                </c:pt>
                <c:pt idx="117">
                  <c:v>1.309348729637885</c:v>
                </c:pt>
                <c:pt idx="118">
                  <c:v>1.3086554986782448</c:v>
                </c:pt>
                <c:pt idx="119">
                  <c:v>1.2910549492702996</c:v>
                </c:pt>
                <c:pt idx="120">
                  <c:v>1.2903312403203342</c:v>
                </c:pt>
                <c:pt idx="121">
                  <c:v>1.2720544774715705</c:v>
                </c:pt>
                <c:pt idx="122">
                  <c:v>1.271434696702334</c:v>
                </c:pt>
                <c:pt idx="123">
                  <c:v>1.2526414309982836</c:v>
                </c:pt>
                <c:pt idx="124">
                  <c:v>1.2520069148365132</c:v>
                </c:pt>
                <c:pt idx="125">
                  <c:v>1.2328452375132029</c:v>
                </c:pt>
                <c:pt idx="126">
                  <c:v>1.232200779714502</c:v>
                </c:pt>
                <c:pt idx="127">
                  <c:v>1.2128106091736568</c:v>
                </c:pt>
                <c:pt idx="128">
                  <c:v>1.2120937293429166</c:v>
                </c:pt>
                <c:pt idx="129">
                  <c:v>1.1926054046164758</c:v>
                </c:pt>
                <c:pt idx="130">
                  <c:v>1.1917528963607713</c:v>
                </c:pt>
                <c:pt idx="131">
                  <c:v>1.1722879610732837</c:v>
                </c:pt>
                <c:pt idx="132">
                  <c:v>1.1715058291890061</c:v>
                </c:pt>
                <c:pt idx="133">
                  <c:v>1.1521751770536082</c:v>
                </c:pt>
                <c:pt idx="134">
                  <c:v>1.1514005478355518</c:v>
                </c:pt>
                <c:pt idx="135">
                  <c:v>1.1323038442571056</c:v>
                </c:pt>
                <c:pt idx="136">
                  <c:v>1.1315405036380448</c:v>
                </c:pt>
                <c:pt idx="137">
                  <c:v>1.1127665193448555</c:v>
                </c:pt>
                <c:pt idx="138">
                  <c:v>1.1120178021750384</c:v>
                </c:pt>
                <c:pt idx="139">
                  <c:v>1.0936445431941799</c:v>
                </c:pt>
                <c:pt idx="140">
                  <c:v>1.092913435145741</c:v>
                </c:pt>
                <c:pt idx="141">
                  <c:v>1.0750087976430873</c:v>
                </c:pt>
                <c:pt idx="142">
                  <c:v>1.0743585423154161</c:v>
                </c:pt>
                <c:pt idx="143">
                  <c:v>1.0569790793473335</c:v>
                </c:pt>
                <c:pt idx="144">
                  <c:v>1.0564079839347864</c:v>
                </c:pt>
                <c:pt idx="145">
                  <c:v>1.0396008887049415</c:v>
                </c:pt>
                <c:pt idx="146">
                  <c:v>1.0389360272826931</c:v>
                </c:pt>
                <c:pt idx="147">
                  <c:v>1.0227465262425777</c:v>
                </c:pt>
                <c:pt idx="148">
                  <c:v>1.0221072743845376</c:v>
                </c:pt>
                <c:pt idx="149">
                  <c:v>1.0065696117467924</c:v>
                </c:pt>
                <c:pt idx="150">
                  <c:v>1.0059572070947707</c:v>
                </c:pt>
                <c:pt idx="151">
                  <c:v>0.99109910602881368</c:v>
                </c:pt>
                <c:pt idx="152">
                  <c:v>0.99056448378987483</c:v>
                </c:pt>
                <c:pt idx="153">
                  <c:v>0.9764055662908091</c:v>
                </c:pt>
                <c:pt idx="154">
                  <c:v>0.97584956055263761</c:v>
                </c:pt>
                <c:pt idx="155">
                  <c:v>0.96240910863292028</c:v>
                </c:pt>
                <c:pt idx="156">
                  <c:v>0.96192733069563963</c:v>
                </c:pt>
                <c:pt idx="157">
                  <c:v>0.94921552433666667</c:v>
                </c:pt>
                <c:pt idx="158">
                  <c:v>0.94880324843897001</c:v>
                </c:pt>
                <c:pt idx="159">
                  <c:v>0.93682655948658411</c:v>
                </c:pt>
                <c:pt idx="160">
                  <c:v>0.93635910294003566</c:v>
                </c:pt>
                <c:pt idx="161">
                  <c:v>0.92512819746050101</c:v>
                </c:pt>
                <c:pt idx="162">
                  <c:v>0.92476558380169016</c:v>
                </c:pt>
                <c:pt idx="163">
                  <c:v>0.91427887224159488</c:v>
                </c:pt>
                <c:pt idx="164">
                  <c:v>0.91387152435685848</c:v>
                </c:pt>
                <c:pt idx="165">
                  <c:v>0.90413514842735787</c:v>
                </c:pt>
                <c:pt idx="166">
                  <c:v>0.90382246102697161</c:v>
                </c:pt>
                <c:pt idx="167">
                  <c:v>0.89483105784023875</c:v>
                </c:pt>
                <c:pt idx="168">
                  <c:v>0.89454322959467414</c:v>
                </c:pt>
                <c:pt idx="169">
                  <c:v>0.8862950883916153</c:v>
                </c:pt>
                <c:pt idx="170">
                  <c:v>0.88603204166327432</c:v>
                </c:pt>
                <c:pt idx="171">
                  <c:v>0.8785246331740475</c:v>
                </c:pt>
                <c:pt idx="172">
                  <c:v>0.87823713678856841</c:v>
                </c:pt>
                <c:pt idx="173">
                  <c:v>0.87147212818954733</c:v>
                </c:pt>
                <c:pt idx="174">
                  <c:v>0.87121453307028451</c:v>
                </c:pt>
                <c:pt idx="175">
                  <c:v>0.86518831579881728</c:v>
                </c:pt>
                <c:pt idx="176">
                  <c:v>0.8649992646741792</c:v>
                </c:pt>
                <c:pt idx="177">
                  <c:v>0.85970322460368387</c:v>
                </c:pt>
                <c:pt idx="178">
                  <c:v>0.85950462267782979</c:v>
                </c:pt>
                <c:pt idx="179">
                  <c:v>0.85494000487173094</c:v>
                </c:pt>
                <c:pt idx="180">
                  <c:v>0.85477080683562567</c:v>
                </c:pt>
                <c:pt idx="181">
                  <c:v>0.85093401656487744</c:v>
                </c:pt>
                <c:pt idx="182">
                  <c:v>0.85081792850291704</c:v>
                </c:pt>
                <c:pt idx="183">
                  <c:v>0.84770107678124818</c:v>
                </c:pt>
                <c:pt idx="184">
                  <c:v>0.84759004734852039</c:v>
                </c:pt>
                <c:pt idx="185">
                  <c:v>0.84519525555182251</c:v>
                </c:pt>
                <c:pt idx="186">
                  <c:v>0.84511329795367263</c:v>
                </c:pt>
                <c:pt idx="187">
                  <c:v>0.84343838200655952</c:v>
                </c:pt>
                <c:pt idx="188">
                  <c:v>0.84338534636926954</c:v>
                </c:pt>
                <c:pt idx="189">
                  <c:v>0.84242875017197383</c:v>
                </c:pt>
                <c:pt idx="190">
                  <c:v>0.84240670169097431</c:v>
                </c:pt>
                <c:pt idx="191">
                  <c:v>0.84216515857334062</c:v>
                </c:pt>
                <c:pt idx="192">
                  <c:v>0.84216985169430314</c:v>
                </c:pt>
                <c:pt idx="193">
                  <c:v>0.84264548778411363</c:v>
                </c:pt>
                <c:pt idx="194">
                  <c:v>0.84267908450207163</c:v>
                </c:pt>
                <c:pt idx="195">
                  <c:v>0.84387237491536238</c:v>
                </c:pt>
                <c:pt idx="196">
                  <c:v>0.8439295239069361</c:v>
                </c:pt>
                <c:pt idx="197">
                  <c:v>0.84583919804867225</c:v>
                </c:pt>
                <c:pt idx="198">
                  <c:v>0.84593060047422042</c:v>
                </c:pt>
                <c:pt idx="199">
                  <c:v>0.84856077774115912</c:v>
                </c:pt>
                <c:pt idx="200">
                  <c:v>0.84867094758964901</c:v>
                </c:pt>
                <c:pt idx="201">
                  <c:v>0.85202162015557692</c:v>
                </c:pt>
                <c:pt idx="202">
                  <c:v>0.85215833776168848</c:v>
                </c:pt>
                <c:pt idx="203">
                  <c:v>0.85623231447877635</c:v>
                </c:pt>
                <c:pt idx="204">
                  <c:v>0.8563804036208077</c:v>
                </c:pt>
                <c:pt idx="205">
                  <c:v>0.86117850983198385</c:v>
                </c:pt>
                <c:pt idx="206">
                  <c:v>0.86136873464291075</c:v>
                </c:pt>
                <c:pt idx="207">
                  <c:v>0.86689692391994055</c:v>
                </c:pt>
                <c:pt idx="208">
                  <c:v>0.86709374306360465</c:v>
                </c:pt>
                <c:pt idx="209">
                  <c:v>0.87335330776196518</c:v>
                </c:pt>
                <c:pt idx="210">
                  <c:v>0.87362038810211384</c:v>
                </c:pt>
                <c:pt idx="211">
                  <c:v>0.88061992331291394</c:v>
                </c:pt>
                <c:pt idx="212">
                  <c:v>0.88089139205547196</c:v>
                </c:pt>
                <c:pt idx="213">
                  <c:v>0.88863198183331538</c:v>
                </c:pt>
                <c:pt idx="214">
                  <c:v>0.88895881729501802</c:v>
                </c:pt>
                <c:pt idx="215">
                  <c:v>0.897445959902057</c:v>
                </c:pt>
                <c:pt idx="216">
                  <c:v>0.89780291360364761</c:v>
                </c:pt>
                <c:pt idx="217">
                  <c:v>0.90703898215082435</c:v>
                </c:pt>
                <c:pt idx="218">
                  <c:v>0.90739296964782057</c:v>
                </c:pt>
                <c:pt idx="219">
                  <c:v>0.91737669813114908</c:v>
                </c:pt>
                <c:pt idx="220">
                  <c:v>0.91775826007539851</c:v>
                </c:pt>
                <c:pt idx="221">
                  <c:v>0.92848969225888578</c:v>
                </c:pt>
                <c:pt idx="222">
                  <c:v>0.92889878096063094</c:v>
                </c:pt>
                <c:pt idx="223">
                  <c:v>0.94037600365811236</c:v>
                </c:pt>
                <c:pt idx="224">
                  <c:v>0.94081251778191521</c:v>
                </c:pt>
                <c:pt idx="225">
                  <c:v>0.95303149918859609</c:v>
                </c:pt>
                <c:pt idx="226">
                  <c:v>0.95349522990439339</c:v>
                </c:pt>
                <c:pt idx="227">
                  <c:v>0.96644918987982953</c:v>
                </c:pt>
                <c:pt idx="228">
                  <c:v>0.96689391235021671</c:v>
                </c:pt>
                <c:pt idx="229">
                  <c:v>0.98057042306826869</c:v>
                </c:pt>
                <c:pt idx="230">
                  <c:v>0.9811358613474308</c:v>
                </c:pt>
                <c:pt idx="231">
                  <c:v>0.99552580357614717</c:v>
                </c:pt>
                <c:pt idx="232">
                  <c:v>0.99611962221768346</c:v>
                </c:pt>
                <c:pt idx="233">
                  <c:v>1.0112044590379266</c:v>
                </c:pt>
                <c:pt idx="234">
                  <c:v>1.0117726603770538</c:v>
                </c:pt>
                <c:pt idx="235">
                  <c:v>1.0275263911037189</c:v>
                </c:pt>
                <c:pt idx="236">
                  <c:v>1.0281187346903395</c:v>
                </c:pt>
                <c:pt idx="237">
                  <c:v>1.0445118363345447</c:v>
                </c:pt>
                <c:pt idx="238">
                  <c:v>1.0451270911770867</c:v>
                </c:pt>
                <c:pt idx="239">
                  <c:v>1.0621232345726843</c:v>
                </c:pt>
                <c:pt idx="240">
                  <c:v>1.0628195538546343</c:v>
                </c:pt>
                <c:pt idx="241">
                  <c:v>1.0803768035598422</c:v>
                </c:pt>
                <c:pt idx="242">
                  <c:v>1.0810947007481817</c:v>
                </c:pt>
                <c:pt idx="243">
                  <c:v>1.0991607505518806</c:v>
                </c:pt>
                <c:pt idx="244">
                  <c:v>1.0998349132308642</c:v>
                </c:pt>
                <c:pt idx="245">
                  <c:v>1.118346880477906</c:v>
                </c:pt>
                <c:pt idx="246">
                  <c:v>1.1190362124163942</c:v>
                </c:pt>
                <c:pt idx="247">
                  <c:v>1.1379235237917413</c:v>
                </c:pt>
                <c:pt idx="248">
                  <c:v>1.138559620701858</c:v>
                </c:pt>
                <c:pt idx="249">
                  <c:v>1.1577404525445887</c:v>
                </c:pt>
                <c:pt idx="250">
                  <c:v>1.1585178766832798</c:v>
                </c:pt>
                <c:pt idx="251">
                  <c:v>1.1779023436298235</c:v>
                </c:pt>
                <c:pt idx="252">
                  <c:v>1.1785519533047857</c:v>
                </c:pt>
                <c:pt idx="253">
                  <c:v>1.1980365133750026</c:v>
                </c:pt>
                <c:pt idx="254">
                  <c:v>1.1987548072995076</c:v>
                </c:pt>
                <c:pt idx="255">
                  <c:v>1.2182265514469108</c:v>
                </c:pt>
                <c:pt idx="256">
                  <c:v>1.218875228080311</c:v>
                </c:pt>
                <c:pt idx="257">
                  <c:v>1.238210598168626</c:v>
                </c:pt>
                <c:pt idx="258">
                  <c:v>1.2388525569491078</c:v>
                </c:pt>
                <c:pt idx="259">
                  <c:v>1.2579181575481826</c:v>
                </c:pt>
                <c:pt idx="260">
                  <c:v>1.2586788063813277</c:v>
                </c:pt>
                <c:pt idx="261">
                  <c:v>1.2773288508607523</c:v>
                </c:pt>
                <c:pt idx="262">
                  <c:v>1.2780697211660144</c:v>
                </c:pt>
                <c:pt idx="263">
                  <c:v>1.2961518859602539</c:v>
                </c:pt>
                <c:pt idx="264">
                  <c:v>1.2968056480502048</c:v>
                </c:pt>
                <c:pt idx="265">
                  <c:v>1.3141641497376291</c:v>
                </c:pt>
                <c:pt idx="266">
                  <c:v>1.3147883099139139</c:v>
                </c:pt>
                <c:pt idx="267">
                  <c:v>1.3312619611907124</c:v>
                </c:pt>
                <c:pt idx="268">
                  <c:v>1.3319054998765945</c:v>
                </c:pt>
                <c:pt idx="269">
                  <c:v>1.3473282148057801</c:v>
                </c:pt>
                <c:pt idx="270">
                  <c:v>1.3479261545645425</c:v>
                </c:pt>
                <c:pt idx="271">
                  <c:v>1.362136386414601</c:v>
                </c:pt>
                <c:pt idx="272">
                  <c:v>1.3626822857906467</c:v>
                </c:pt>
                <c:pt idx="273">
                  <c:v>1.3755237937220193</c:v>
                </c:pt>
                <c:pt idx="274">
                  <c:v>1.3759698691677342</c:v>
                </c:pt>
                <c:pt idx="275">
                  <c:v>1.3873003810450626</c:v>
                </c:pt>
                <c:pt idx="276">
                  <c:v>1.3877244304399243</c:v>
                </c:pt>
                <c:pt idx="277">
                  <c:v>1.3974039808452892</c:v>
                </c:pt>
                <c:pt idx="278">
                  <c:v>1.3977589931833392</c:v>
                </c:pt>
                <c:pt idx="279">
                  <c:v>1.4056683817849027</c:v>
                </c:pt>
                <c:pt idx="280">
                  <c:v>1.4059499002295817</c:v>
                </c:pt>
                <c:pt idx="281">
                  <c:v>1.4119890140524107</c:v>
                </c:pt>
                <c:pt idx="282">
                  <c:v>1.4121761448808847</c:v>
                </c:pt>
                <c:pt idx="283">
                  <c:v>1.41627356676237</c:v>
                </c:pt>
                <c:pt idx="284">
                  <c:v>1.416387996498544</c:v>
                </c:pt>
                <c:pt idx="285">
                  <c:v>1.4184903987398481</c:v>
                </c:pt>
                <c:pt idx="286">
                  <c:v>1.4185306670166669</c:v>
                </c:pt>
                <c:pt idx="287">
                  <c:v>1.4186103705715549</c:v>
                </c:pt>
                <c:pt idx="288">
                  <c:v>1.4185759586571496</c:v>
                </c:pt>
                <c:pt idx="289">
                  <c:v>1.4166319146632469</c:v>
                </c:pt>
                <c:pt idx="290">
                  <c:v>1.4165129430863148</c:v>
                </c:pt>
                <c:pt idx="291">
                  <c:v>1.4125641809001224</c:v>
                </c:pt>
                <c:pt idx="292">
                  <c:v>1.4123824781719438</c:v>
                </c:pt>
                <c:pt idx="293">
                  <c:v>1.4064871141501092</c:v>
                </c:pt>
                <c:pt idx="294">
                  <c:v>1.4062349545473944</c:v>
                </c:pt>
                <c:pt idx="295">
                  <c:v>1.3984687951244927</c:v>
                </c:pt>
                <c:pt idx="296">
                  <c:v>1.3981493549957547</c:v>
                </c:pt>
                <c:pt idx="297">
                  <c:v>1.3886101185039559</c:v>
                </c:pt>
                <c:pt idx="298">
                  <c:v>1.3882274389819438</c:v>
                </c:pt>
                <c:pt idx="299">
                  <c:v>1.3770321497845766</c:v>
                </c:pt>
                <c:pt idx="300">
                  <c:v>1.3765494721020504</c:v>
                </c:pt>
                <c:pt idx="301">
                  <c:v>1.3638263677025209</c:v>
                </c:pt>
                <c:pt idx="302">
                  <c:v>1.3633777441557651</c:v>
                </c:pt>
                <c:pt idx="303">
                  <c:v>1.3492821356081697</c:v>
                </c:pt>
                <c:pt idx="304">
                  <c:v>1.3486885507625266</c:v>
                </c:pt>
                <c:pt idx="305">
                  <c:v>1.3333664043283937</c:v>
                </c:pt>
                <c:pt idx="306">
                  <c:v>1.3327814083611371</c:v>
                </c:pt>
                <c:pt idx="307">
                  <c:v>1.3163972476111294</c:v>
                </c:pt>
                <c:pt idx="308">
                  <c:v>1.3157760951142077</c:v>
                </c:pt>
                <c:pt idx="309">
                  <c:v>1.298492146408263</c:v>
                </c:pt>
                <c:pt idx="310">
                  <c:v>1.2979018163099842</c:v>
                </c:pt>
                <c:pt idx="311">
                  <c:v>1.2798817020557858</c:v>
                </c:pt>
                <c:pt idx="312">
                  <c:v>1.2791430008847677</c:v>
                </c:pt>
                <c:pt idx="313">
                  <c:v>1.2605402139733404</c:v>
                </c:pt>
                <c:pt idx="314">
                  <c:v>1.2598460873462203</c:v>
                </c:pt>
                <c:pt idx="315">
                  <c:v>1.2408148080648103</c:v>
                </c:pt>
                <c:pt idx="316">
                  <c:v>1.2401075904328689</c:v>
                </c:pt>
                <c:pt idx="317">
                  <c:v>1.2207920892880222</c:v>
                </c:pt>
                <c:pt idx="318">
                  <c:v>1.2200769690556843</c:v>
                </c:pt>
                <c:pt idx="319">
                  <c:v>1.2006124688721727</c:v>
                </c:pt>
                <c:pt idx="320">
                  <c:v>1.1998271021683136</c:v>
                </c:pt>
                <c:pt idx="321">
                  <c:v>1.1803389161674176</c:v>
                </c:pt>
                <c:pt idx="322">
                  <c:v>1.1795549787865454</c:v>
                </c:pt>
                <c:pt idx="323">
                  <c:v>1.1601583058727898</c:v>
                </c:pt>
                <c:pt idx="324">
                  <c:v>1.1593802101656832</c:v>
                </c:pt>
                <c:pt idx="325">
                  <c:v>1.1401791341048033</c:v>
                </c:pt>
                <c:pt idx="326">
                  <c:v>1.1394108676995152</c:v>
                </c:pt>
                <c:pt idx="327">
                  <c:v>1.1204985014565036</c:v>
                </c:pt>
                <c:pt idx="328">
                  <c:v>1.1198080967085606</c:v>
                </c:pt>
                <c:pt idx="329">
                  <c:v>1.1012652854900997</c:v>
                </c:pt>
                <c:pt idx="330">
                  <c:v>1.1005898906884262</c:v>
                </c:pt>
                <c:pt idx="331">
                  <c:v>1.082488073554756</c:v>
                </c:pt>
                <c:pt idx="332">
                  <c:v>1.0818301117646625</c:v>
                </c:pt>
                <c:pt idx="333">
                  <c:v>1.0642309807305803</c:v>
                </c:pt>
                <c:pt idx="334">
                  <c:v>1.0635925808619859</c:v>
                </c:pt>
                <c:pt idx="335">
                  <c:v>1.0465488214615406</c:v>
                </c:pt>
                <c:pt idx="336">
                  <c:v>1.0458741099661042</c:v>
                </c:pt>
                <c:pt idx="337">
                  <c:v>1.0294321810144238</c:v>
                </c:pt>
                <c:pt idx="338">
                  <c:v>1.0288380037843416</c:v>
                </c:pt>
                <c:pt idx="339">
                  <c:v>1.0130328543896177</c:v>
                </c:pt>
                <c:pt idx="340">
                  <c:v>1.0124627175800145</c:v>
                </c:pt>
                <c:pt idx="341">
                  <c:v>0.99732437752893899</c:v>
                </c:pt>
                <c:pt idx="342">
                  <c:v>0.99677929415776678</c:v>
                </c:pt>
                <c:pt idx="343">
                  <c:v>0.98233181203738951</c:v>
                </c:pt>
                <c:pt idx="344">
                  <c:v>0.98181255525669453</c:v>
                </c:pt>
                <c:pt idx="345">
                  <c:v>0.96807483004584727</c:v>
                </c:pt>
                <c:pt idx="346">
                  <c:v>0.96758200093590419</c:v>
                </c:pt>
                <c:pt idx="347">
                  <c:v>0.9545682236114863</c:v>
                </c:pt>
                <c:pt idx="348">
                  <c:v>0.95405873581478406</c:v>
                </c:pt>
                <c:pt idx="349">
                  <c:v>0.94178170429533781</c:v>
                </c:pt>
                <c:pt idx="350">
                  <c:v>0.94130204796344863</c:v>
                </c:pt>
                <c:pt idx="351">
                  <c:v>0.92976884015874772</c:v>
                </c:pt>
                <c:pt idx="352">
                  <c:v>0.92931926593154246</c:v>
                </c:pt>
                <c:pt idx="353">
                  <c:v>0.91853411952806907</c:v>
                </c:pt>
                <c:pt idx="354">
                  <c:v>0.91811471712263548</c:v>
                </c:pt>
                <c:pt idx="355">
                  <c:v>0.90807964881825964</c:v>
                </c:pt>
                <c:pt idx="356">
                  <c:v>0.90772375201865907</c:v>
                </c:pt>
                <c:pt idx="357">
                  <c:v>0.89843644754482743</c:v>
                </c:pt>
                <c:pt idx="358">
                  <c:v>0.89810804225128149</c:v>
                </c:pt>
                <c:pt idx="359">
                  <c:v>0.88956728674058516</c:v>
                </c:pt>
                <c:pt idx="360">
                  <c:v>0.88926636881713228</c:v>
                </c:pt>
                <c:pt idx="361">
                  <c:v>0.88146988740527021</c:v>
                </c:pt>
                <c:pt idx="362">
                  <c:v>0.88119631645457985</c:v>
                </c:pt>
                <c:pt idx="363">
                  <c:v>0.87414110802035416</c:v>
                </c:pt>
                <c:pt idx="364">
                  <c:v>0.87387183647084843</c:v>
                </c:pt>
                <c:pt idx="365">
                  <c:v>0.86755685372038749</c:v>
                </c:pt>
                <c:pt idx="366">
                  <c:v>0.86731730972817489</c:v>
                </c:pt>
                <c:pt idx="367">
                  <c:v>0.86173884172115811</c:v>
                </c:pt>
                <c:pt idx="368">
                  <c:v>0.86152893071828551</c:v>
                </c:pt>
                <c:pt idx="369">
                  <c:v>0.85668325705932824</c:v>
                </c:pt>
                <c:pt idx="370">
                  <c:v>0.85651812350603418</c:v>
                </c:pt>
                <c:pt idx="371">
                  <c:v>0.85239922424922954</c:v>
                </c:pt>
                <c:pt idx="372">
                  <c:v>0.8522607996961663</c:v>
                </c:pt>
                <c:pt idx="373">
                  <c:v>0.84886544010589349</c:v>
                </c:pt>
                <c:pt idx="374">
                  <c:v>0.84875364734539716</c:v>
                </c:pt>
                <c:pt idx="375">
                  <c:v>0.84607882623325192</c:v>
                </c:pt>
                <c:pt idx="376">
                  <c:v>0.84599356842723417</c:v>
                </c:pt>
                <c:pt idx="377">
                  <c:v>0.84403702298723127</c:v>
                </c:pt>
                <c:pt idx="378">
                  <c:v>0.84397815801851539</c:v>
                </c:pt>
                <c:pt idx="379">
                  <c:v>0.84273810608063393</c:v>
                </c:pt>
                <c:pt idx="380">
                  <c:v>0.84270561837496638</c:v>
                </c:pt>
                <c:pt idx="381">
                  <c:v>0.84218089888142167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C8-4292-811B-E45CDAE3A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6965727"/>
        <c:axId val="1206966687"/>
      </c:scatterChart>
      <c:valAx>
        <c:axId val="1206965727"/>
        <c:scaling>
          <c:orientation val="minMax"/>
          <c:max val="3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06966687"/>
        <c:crosses val="autoZero"/>
        <c:crossBetween val="midCat"/>
        <c:majorUnit val="90"/>
      </c:valAx>
      <c:valAx>
        <c:axId val="1206966687"/>
        <c:scaling>
          <c:orientation val="minMax"/>
          <c:max val="1.9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0696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gap of angle (mrad) F=17</a:t>
            </a:r>
          </a:p>
        </c:rich>
      </c:tx>
      <c:layout>
        <c:manualLayout>
          <c:xMode val="edge"/>
          <c:yMode val="edge"/>
          <c:x val="0.34313888888888888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pat_result!$C$1</c:f>
              <c:strCache>
                <c:ptCount val="1"/>
                <c:pt idx="0">
                  <c:v>F=17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pat_result!$B$2:$B$401</c:f>
              <c:numCache>
                <c:formatCode>General</c:formatCode>
                <c:ptCount val="400"/>
                <c:pt idx="0">
                  <c:v>6.2630000000000003E-3</c:v>
                </c:pt>
                <c:pt idx="1">
                  <c:v>6.2630000000000003E-3</c:v>
                </c:pt>
                <c:pt idx="2">
                  <c:v>1.8851629999999999</c:v>
                </c:pt>
                <c:pt idx="3">
                  <c:v>1.8851629999999999</c:v>
                </c:pt>
                <c:pt idx="4">
                  <c:v>3.7891150000000402</c:v>
                </c:pt>
                <c:pt idx="5">
                  <c:v>3.7891150000000402</c:v>
                </c:pt>
                <c:pt idx="6">
                  <c:v>5.6680149999999898</c:v>
                </c:pt>
                <c:pt idx="7">
                  <c:v>5.6680149999999898</c:v>
                </c:pt>
                <c:pt idx="8">
                  <c:v>7.5657039999999798</c:v>
                </c:pt>
                <c:pt idx="9">
                  <c:v>7.5657039999999798</c:v>
                </c:pt>
                <c:pt idx="10">
                  <c:v>9.4508670000001302</c:v>
                </c:pt>
                <c:pt idx="11">
                  <c:v>9.4508670000001302</c:v>
                </c:pt>
                <c:pt idx="12">
                  <c:v>11.329767000000301</c:v>
                </c:pt>
                <c:pt idx="13">
                  <c:v>11.329767000000301</c:v>
                </c:pt>
                <c:pt idx="14">
                  <c:v>13.208667000000499</c:v>
                </c:pt>
                <c:pt idx="15">
                  <c:v>13.208667000000499</c:v>
                </c:pt>
                <c:pt idx="16">
                  <c:v>15.1063560000007</c:v>
                </c:pt>
                <c:pt idx="17">
                  <c:v>15.1063560000007</c:v>
                </c:pt>
                <c:pt idx="18">
                  <c:v>16.9915190000008</c:v>
                </c:pt>
                <c:pt idx="19">
                  <c:v>16.9915190000008</c:v>
                </c:pt>
                <c:pt idx="20">
                  <c:v>18.920523000001001</c:v>
                </c:pt>
                <c:pt idx="21">
                  <c:v>18.920523000001001</c:v>
                </c:pt>
                <c:pt idx="22">
                  <c:v>20.830738000001201</c:v>
                </c:pt>
                <c:pt idx="23">
                  <c:v>20.830738000001201</c:v>
                </c:pt>
                <c:pt idx="24">
                  <c:v>22.7346900000014</c:v>
                </c:pt>
                <c:pt idx="25">
                  <c:v>22.7346900000014</c:v>
                </c:pt>
                <c:pt idx="26">
                  <c:v>24.632379000001698</c:v>
                </c:pt>
                <c:pt idx="27">
                  <c:v>24.632379000001698</c:v>
                </c:pt>
                <c:pt idx="28">
                  <c:v>26.530068000001901</c:v>
                </c:pt>
                <c:pt idx="29">
                  <c:v>26.530068000001901</c:v>
                </c:pt>
                <c:pt idx="30">
                  <c:v>28.408968000002201</c:v>
                </c:pt>
                <c:pt idx="31">
                  <c:v>28.408968000002201</c:v>
                </c:pt>
                <c:pt idx="32">
                  <c:v>30.3003940000022</c:v>
                </c:pt>
                <c:pt idx="33">
                  <c:v>30.3003940000022</c:v>
                </c:pt>
                <c:pt idx="34">
                  <c:v>32.191820000002203</c:v>
                </c:pt>
                <c:pt idx="35">
                  <c:v>32.191820000002203</c:v>
                </c:pt>
                <c:pt idx="36">
                  <c:v>34.083246000001303</c:v>
                </c:pt>
                <c:pt idx="37">
                  <c:v>34.083246000001303</c:v>
                </c:pt>
                <c:pt idx="38">
                  <c:v>35.962146000000502</c:v>
                </c:pt>
                <c:pt idx="39">
                  <c:v>35.962146000000502</c:v>
                </c:pt>
                <c:pt idx="40">
                  <c:v>37.8410459999997</c:v>
                </c:pt>
                <c:pt idx="41">
                  <c:v>37.8410459999997</c:v>
                </c:pt>
                <c:pt idx="42">
                  <c:v>39.7324719999989</c:v>
                </c:pt>
                <c:pt idx="43">
                  <c:v>39.7324719999989</c:v>
                </c:pt>
                <c:pt idx="44">
                  <c:v>41.623897999998</c:v>
                </c:pt>
                <c:pt idx="45">
                  <c:v>41.623897999998</c:v>
                </c:pt>
                <c:pt idx="46">
                  <c:v>43.5153239999972</c:v>
                </c:pt>
                <c:pt idx="47">
                  <c:v>43.5153239999972</c:v>
                </c:pt>
                <c:pt idx="48">
                  <c:v>45.394223999996399</c:v>
                </c:pt>
                <c:pt idx="49">
                  <c:v>45.394223999996399</c:v>
                </c:pt>
                <c:pt idx="50">
                  <c:v>47.285649999995499</c:v>
                </c:pt>
                <c:pt idx="51">
                  <c:v>47.285649999995499</c:v>
                </c:pt>
                <c:pt idx="52">
                  <c:v>49.164549999994698</c:v>
                </c:pt>
                <c:pt idx="53">
                  <c:v>49.164549999994698</c:v>
                </c:pt>
                <c:pt idx="54">
                  <c:v>51.062238999993902</c:v>
                </c:pt>
                <c:pt idx="55">
                  <c:v>51.062238999993902</c:v>
                </c:pt>
                <c:pt idx="56">
                  <c:v>52.9411389999931</c:v>
                </c:pt>
                <c:pt idx="57">
                  <c:v>52.9411389999931</c:v>
                </c:pt>
                <c:pt idx="58">
                  <c:v>54.832564999992201</c:v>
                </c:pt>
                <c:pt idx="59">
                  <c:v>54.832564999992201</c:v>
                </c:pt>
                <c:pt idx="60">
                  <c:v>56.717727999991403</c:v>
                </c:pt>
                <c:pt idx="61">
                  <c:v>56.717727999991403</c:v>
                </c:pt>
                <c:pt idx="62">
                  <c:v>58.596627999990403</c:v>
                </c:pt>
                <c:pt idx="63">
                  <c:v>58.596627999990403</c:v>
                </c:pt>
                <c:pt idx="64">
                  <c:v>60.494316999989202</c:v>
                </c:pt>
                <c:pt idx="65">
                  <c:v>60.494316999989202</c:v>
                </c:pt>
                <c:pt idx="66">
                  <c:v>62.373216999988102</c:v>
                </c:pt>
                <c:pt idx="67">
                  <c:v>62.373216999988102</c:v>
                </c:pt>
                <c:pt idx="68">
                  <c:v>64.264642999987402</c:v>
                </c:pt>
                <c:pt idx="69">
                  <c:v>64.264642999987402</c:v>
                </c:pt>
                <c:pt idx="70">
                  <c:v>66.149805999988899</c:v>
                </c:pt>
                <c:pt idx="71">
                  <c:v>66.149805999988899</c:v>
                </c:pt>
                <c:pt idx="72">
                  <c:v>68.041231999990302</c:v>
                </c:pt>
                <c:pt idx="73">
                  <c:v>68.041231999990302</c:v>
                </c:pt>
                <c:pt idx="74">
                  <c:v>69.932657999992003</c:v>
                </c:pt>
                <c:pt idx="75">
                  <c:v>69.932657999992003</c:v>
                </c:pt>
                <c:pt idx="76">
                  <c:v>71.811557999993795</c:v>
                </c:pt>
                <c:pt idx="77">
                  <c:v>71.811557999993795</c:v>
                </c:pt>
                <c:pt idx="78">
                  <c:v>73.690457999995601</c:v>
                </c:pt>
                <c:pt idx="79">
                  <c:v>73.690457999995601</c:v>
                </c:pt>
                <c:pt idx="80">
                  <c:v>75.588146999997505</c:v>
                </c:pt>
                <c:pt idx="81">
                  <c:v>75.588146999997505</c:v>
                </c:pt>
                <c:pt idx="82">
                  <c:v>77.467046999999297</c:v>
                </c:pt>
                <c:pt idx="83">
                  <c:v>77.467046999999297</c:v>
                </c:pt>
                <c:pt idx="84">
                  <c:v>79.358473000001098</c:v>
                </c:pt>
                <c:pt idx="85">
                  <c:v>79.358473000001098</c:v>
                </c:pt>
                <c:pt idx="86">
                  <c:v>81.249899000002998</c:v>
                </c:pt>
                <c:pt idx="87">
                  <c:v>81.249899000002998</c:v>
                </c:pt>
                <c:pt idx="88">
                  <c:v>83.141325000004798</c:v>
                </c:pt>
                <c:pt idx="89">
                  <c:v>83.141325000004798</c:v>
                </c:pt>
                <c:pt idx="90">
                  <c:v>85.020225000006704</c:v>
                </c:pt>
                <c:pt idx="91">
                  <c:v>85.020225000006704</c:v>
                </c:pt>
                <c:pt idx="92">
                  <c:v>86.899125000008496</c:v>
                </c:pt>
                <c:pt idx="93">
                  <c:v>86.899125000008496</c:v>
                </c:pt>
                <c:pt idx="94">
                  <c:v>88.790551000010296</c:v>
                </c:pt>
                <c:pt idx="95">
                  <c:v>88.790551000010296</c:v>
                </c:pt>
                <c:pt idx="96">
                  <c:v>90.681977000012196</c:v>
                </c:pt>
                <c:pt idx="97">
                  <c:v>90.681977000012196</c:v>
                </c:pt>
                <c:pt idx="98">
                  <c:v>92.573403000014096</c:v>
                </c:pt>
                <c:pt idx="99">
                  <c:v>92.573403000014096</c:v>
                </c:pt>
                <c:pt idx="100">
                  <c:v>94.452303000016002</c:v>
                </c:pt>
                <c:pt idx="101">
                  <c:v>94.452303000016002</c:v>
                </c:pt>
                <c:pt idx="102">
                  <c:v>96.331203000017993</c:v>
                </c:pt>
                <c:pt idx="103">
                  <c:v>96.331203000017993</c:v>
                </c:pt>
                <c:pt idx="104">
                  <c:v>98.228892000019997</c:v>
                </c:pt>
                <c:pt idx="105">
                  <c:v>98.228892000019997</c:v>
                </c:pt>
                <c:pt idx="106">
                  <c:v>100.120318000022</c:v>
                </c:pt>
                <c:pt idx="107">
                  <c:v>100.120318000022</c:v>
                </c:pt>
                <c:pt idx="108">
                  <c:v>101.999218000024</c:v>
                </c:pt>
                <c:pt idx="109">
                  <c:v>101.999218000024</c:v>
                </c:pt>
                <c:pt idx="110">
                  <c:v>103.87811800002601</c:v>
                </c:pt>
                <c:pt idx="111">
                  <c:v>103.87811800002601</c:v>
                </c:pt>
                <c:pt idx="112">
                  <c:v>105.757018000028</c:v>
                </c:pt>
                <c:pt idx="113">
                  <c:v>105.757018000028</c:v>
                </c:pt>
                <c:pt idx="114">
                  <c:v>107.65470700003</c:v>
                </c:pt>
                <c:pt idx="115">
                  <c:v>107.65470700003</c:v>
                </c:pt>
                <c:pt idx="116">
                  <c:v>109.546133000032</c:v>
                </c:pt>
                <c:pt idx="117">
                  <c:v>109.546133000032</c:v>
                </c:pt>
                <c:pt idx="118">
                  <c:v>111.437559000034</c:v>
                </c:pt>
                <c:pt idx="119">
                  <c:v>111.437559000034</c:v>
                </c:pt>
                <c:pt idx="120">
                  <c:v>113.328985000036</c:v>
                </c:pt>
                <c:pt idx="121">
                  <c:v>113.328985000036</c:v>
                </c:pt>
                <c:pt idx="122">
                  <c:v>115.207885000038</c:v>
                </c:pt>
                <c:pt idx="123">
                  <c:v>115.207885000038</c:v>
                </c:pt>
                <c:pt idx="124">
                  <c:v>117.086785000039</c:v>
                </c:pt>
                <c:pt idx="125">
                  <c:v>117.086785000039</c:v>
                </c:pt>
                <c:pt idx="126">
                  <c:v>118.96568500004101</c:v>
                </c:pt>
                <c:pt idx="127">
                  <c:v>118.96568500004101</c:v>
                </c:pt>
                <c:pt idx="128">
                  <c:v>120.850848000043</c:v>
                </c:pt>
                <c:pt idx="129">
                  <c:v>120.850848000043</c:v>
                </c:pt>
                <c:pt idx="130">
                  <c:v>122.748537000045</c:v>
                </c:pt>
                <c:pt idx="131">
                  <c:v>122.748537000045</c:v>
                </c:pt>
                <c:pt idx="132">
                  <c:v>124.639963000047</c:v>
                </c:pt>
                <c:pt idx="133">
                  <c:v>124.639963000047</c:v>
                </c:pt>
                <c:pt idx="134">
                  <c:v>126.531389000049</c:v>
                </c:pt>
                <c:pt idx="135">
                  <c:v>126.531389000049</c:v>
                </c:pt>
                <c:pt idx="136">
                  <c:v>128.42281500005001</c:v>
                </c:pt>
                <c:pt idx="137">
                  <c:v>128.42281500005001</c:v>
                </c:pt>
                <c:pt idx="138">
                  <c:v>130.31424100004801</c:v>
                </c:pt>
                <c:pt idx="139">
                  <c:v>130.31424100004801</c:v>
                </c:pt>
                <c:pt idx="140">
                  <c:v>132.205667000045</c:v>
                </c:pt>
                <c:pt idx="141">
                  <c:v>132.205667000045</c:v>
                </c:pt>
                <c:pt idx="142">
                  <c:v>134.09083000004301</c:v>
                </c:pt>
                <c:pt idx="143">
                  <c:v>134.09083000004301</c:v>
                </c:pt>
                <c:pt idx="144">
                  <c:v>135.96973000003999</c:v>
                </c:pt>
                <c:pt idx="145">
                  <c:v>135.96973000003999</c:v>
                </c:pt>
                <c:pt idx="146">
                  <c:v>137.86115600003799</c:v>
                </c:pt>
                <c:pt idx="147">
                  <c:v>137.86115600003799</c:v>
                </c:pt>
                <c:pt idx="148">
                  <c:v>139.752582000036</c:v>
                </c:pt>
                <c:pt idx="149">
                  <c:v>139.752582000036</c:v>
                </c:pt>
                <c:pt idx="150">
                  <c:v>141.64400800003301</c:v>
                </c:pt>
                <c:pt idx="151">
                  <c:v>141.64400800003301</c:v>
                </c:pt>
                <c:pt idx="152">
                  <c:v>143.529171000031</c:v>
                </c:pt>
                <c:pt idx="153">
                  <c:v>143.529171000031</c:v>
                </c:pt>
                <c:pt idx="154">
                  <c:v>145.42059700002801</c:v>
                </c:pt>
                <c:pt idx="155">
                  <c:v>145.42059700002801</c:v>
                </c:pt>
                <c:pt idx="156">
                  <c:v>147.305760000026</c:v>
                </c:pt>
                <c:pt idx="157">
                  <c:v>147.305760000026</c:v>
                </c:pt>
                <c:pt idx="158">
                  <c:v>149.184660000024</c:v>
                </c:pt>
                <c:pt idx="159">
                  <c:v>149.184660000024</c:v>
                </c:pt>
                <c:pt idx="160">
                  <c:v>151.07608600002101</c:v>
                </c:pt>
                <c:pt idx="161">
                  <c:v>151.07608600002101</c:v>
                </c:pt>
                <c:pt idx="162">
                  <c:v>152.95498600001901</c:v>
                </c:pt>
                <c:pt idx="163">
                  <c:v>152.95498600001901</c:v>
                </c:pt>
                <c:pt idx="164">
                  <c:v>154.84641200001599</c:v>
                </c:pt>
                <c:pt idx="165">
                  <c:v>154.84641200001599</c:v>
                </c:pt>
                <c:pt idx="166">
                  <c:v>156.72531200001399</c:v>
                </c:pt>
                <c:pt idx="167">
                  <c:v>156.72531200001399</c:v>
                </c:pt>
                <c:pt idx="168">
                  <c:v>158.60421200001099</c:v>
                </c:pt>
                <c:pt idx="169">
                  <c:v>158.60421200001099</c:v>
                </c:pt>
                <c:pt idx="170">
                  <c:v>160.48311200000899</c:v>
                </c:pt>
                <c:pt idx="171">
                  <c:v>160.48311200000899</c:v>
                </c:pt>
                <c:pt idx="172">
                  <c:v>162.37453800000699</c:v>
                </c:pt>
                <c:pt idx="173">
                  <c:v>162.37453800000699</c:v>
                </c:pt>
                <c:pt idx="174">
                  <c:v>164.265964000004</c:v>
                </c:pt>
                <c:pt idx="175">
                  <c:v>164.265964000004</c:v>
                </c:pt>
                <c:pt idx="176">
                  <c:v>166.144864000002</c:v>
                </c:pt>
                <c:pt idx="177">
                  <c:v>166.144864000002</c:v>
                </c:pt>
                <c:pt idx="178">
                  <c:v>168.03628999999901</c:v>
                </c:pt>
                <c:pt idx="179">
                  <c:v>168.03628999999901</c:v>
                </c:pt>
                <c:pt idx="180">
                  <c:v>169.92771599999699</c:v>
                </c:pt>
                <c:pt idx="181">
                  <c:v>169.92771599999699</c:v>
                </c:pt>
                <c:pt idx="182">
                  <c:v>171.80661599999399</c:v>
                </c:pt>
                <c:pt idx="183">
                  <c:v>171.80661599999399</c:v>
                </c:pt>
                <c:pt idx="184">
                  <c:v>173.698041999992</c:v>
                </c:pt>
                <c:pt idx="185">
                  <c:v>173.698041999992</c:v>
                </c:pt>
                <c:pt idx="186">
                  <c:v>175.58946799999001</c:v>
                </c:pt>
                <c:pt idx="187">
                  <c:v>175.58946799999001</c:v>
                </c:pt>
                <c:pt idx="188">
                  <c:v>177.48089399998699</c:v>
                </c:pt>
                <c:pt idx="189">
                  <c:v>177.48089399998699</c:v>
                </c:pt>
                <c:pt idx="190">
                  <c:v>179.36605699998501</c:v>
                </c:pt>
                <c:pt idx="191">
                  <c:v>179.36605699998501</c:v>
                </c:pt>
                <c:pt idx="192">
                  <c:v>181.25748299998199</c:v>
                </c:pt>
                <c:pt idx="193">
                  <c:v>181.25748299998199</c:v>
                </c:pt>
                <c:pt idx="194">
                  <c:v>183.14890899997999</c:v>
                </c:pt>
                <c:pt idx="195">
                  <c:v>183.14890899997999</c:v>
                </c:pt>
                <c:pt idx="196">
                  <c:v>185.03407199997699</c:v>
                </c:pt>
                <c:pt idx="197">
                  <c:v>185.03407199997699</c:v>
                </c:pt>
                <c:pt idx="198">
                  <c:v>186.92549799997499</c:v>
                </c:pt>
                <c:pt idx="199">
                  <c:v>186.92549799997499</c:v>
                </c:pt>
                <c:pt idx="200">
                  <c:v>188.81066099997301</c:v>
                </c:pt>
                <c:pt idx="201">
                  <c:v>188.81066099997301</c:v>
                </c:pt>
                <c:pt idx="202">
                  <c:v>190.69582399997</c:v>
                </c:pt>
                <c:pt idx="203">
                  <c:v>190.69582399997</c:v>
                </c:pt>
                <c:pt idx="204">
                  <c:v>192.574723999968</c:v>
                </c:pt>
                <c:pt idx="205">
                  <c:v>192.574723999968</c:v>
                </c:pt>
                <c:pt idx="206">
                  <c:v>194.45988699996499</c:v>
                </c:pt>
                <c:pt idx="207">
                  <c:v>194.45988699996499</c:v>
                </c:pt>
                <c:pt idx="208">
                  <c:v>196.33878699996299</c:v>
                </c:pt>
                <c:pt idx="209">
                  <c:v>196.33878699996299</c:v>
                </c:pt>
                <c:pt idx="210">
                  <c:v>198.23021299996</c:v>
                </c:pt>
                <c:pt idx="211">
                  <c:v>198.23021299996</c:v>
                </c:pt>
                <c:pt idx="212">
                  <c:v>200.11537599995799</c:v>
                </c:pt>
                <c:pt idx="213">
                  <c:v>200.11537599995799</c:v>
                </c:pt>
                <c:pt idx="214">
                  <c:v>202.006801999956</c:v>
                </c:pt>
                <c:pt idx="215">
                  <c:v>202.006801999956</c:v>
                </c:pt>
                <c:pt idx="216">
                  <c:v>203.89822799995301</c:v>
                </c:pt>
                <c:pt idx="217">
                  <c:v>203.89822799995301</c:v>
                </c:pt>
                <c:pt idx="218">
                  <c:v>205.783390999951</c:v>
                </c:pt>
                <c:pt idx="219">
                  <c:v>205.783390999951</c:v>
                </c:pt>
                <c:pt idx="220">
                  <c:v>207.66855399994799</c:v>
                </c:pt>
                <c:pt idx="221">
                  <c:v>207.66855399994799</c:v>
                </c:pt>
                <c:pt idx="222">
                  <c:v>209.553716999946</c:v>
                </c:pt>
                <c:pt idx="223">
                  <c:v>209.553716999946</c:v>
                </c:pt>
                <c:pt idx="224">
                  <c:v>211.438879999943</c:v>
                </c:pt>
                <c:pt idx="225">
                  <c:v>211.438879999943</c:v>
                </c:pt>
                <c:pt idx="226">
                  <c:v>213.32404299994101</c:v>
                </c:pt>
                <c:pt idx="227">
                  <c:v>213.32404299994101</c:v>
                </c:pt>
                <c:pt idx="228">
                  <c:v>215.20294299993901</c:v>
                </c:pt>
                <c:pt idx="229">
                  <c:v>215.20294299993901</c:v>
                </c:pt>
                <c:pt idx="230">
                  <c:v>217.09436899993599</c:v>
                </c:pt>
                <c:pt idx="231">
                  <c:v>217.09436899993599</c:v>
                </c:pt>
                <c:pt idx="232">
                  <c:v>218.985794999934</c:v>
                </c:pt>
                <c:pt idx="233">
                  <c:v>218.985794999934</c:v>
                </c:pt>
                <c:pt idx="234">
                  <c:v>220.87095799993099</c:v>
                </c:pt>
                <c:pt idx="235">
                  <c:v>220.87095799993099</c:v>
                </c:pt>
                <c:pt idx="236">
                  <c:v>222.75612099992901</c:v>
                </c:pt>
                <c:pt idx="237">
                  <c:v>222.75612099992901</c:v>
                </c:pt>
                <c:pt idx="238">
                  <c:v>224.641283999926</c:v>
                </c:pt>
                <c:pt idx="239">
                  <c:v>224.641283999926</c:v>
                </c:pt>
                <c:pt idx="240">
                  <c:v>226.53270999992401</c:v>
                </c:pt>
                <c:pt idx="241">
                  <c:v>226.53270999992401</c:v>
                </c:pt>
                <c:pt idx="242">
                  <c:v>228.42413599992199</c:v>
                </c:pt>
                <c:pt idx="243">
                  <c:v>228.42413599992199</c:v>
                </c:pt>
                <c:pt idx="244">
                  <c:v>230.30929899992199</c:v>
                </c:pt>
                <c:pt idx="245">
                  <c:v>230.30929899992199</c:v>
                </c:pt>
                <c:pt idx="246">
                  <c:v>232.19446199992299</c:v>
                </c:pt>
                <c:pt idx="247">
                  <c:v>232.19446199992299</c:v>
                </c:pt>
                <c:pt idx="248">
                  <c:v>234.073361999925</c:v>
                </c:pt>
                <c:pt idx="249">
                  <c:v>234.073361999925</c:v>
                </c:pt>
                <c:pt idx="250">
                  <c:v>235.96478799992701</c:v>
                </c:pt>
                <c:pt idx="251">
                  <c:v>235.96478799992701</c:v>
                </c:pt>
                <c:pt idx="252">
                  <c:v>237.84368799992899</c:v>
                </c:pt>
                <c:pt idx="253">
                  <c:v>237.84368799992899</c:v>
                </c:pt>
                <c:pt idx="254">
                  <c:v>239.72885099993101</c:v>
                </c:pt>
                <c:pt idx="255">
                  <c:v>239.72885099993101</c:v>
                </c:pt>
                <c:pt idx="256">
                  <c:v>241.60775099993299</c:v>
                </c:pt>
                <c:pt idx="257">
                  <c:v>241.60775099993299</c:v>
                </c:pt>
                <c:pt idx="258">
                  <c:v>243.486650999934</c:v>
                </c:pt>
                <c:pt idx="259">
                  <c:v>243.486650999934</c:v>
                </c:pt>
                <c:pt idx="260">
                  <c:v>245.37807699993601</c:v>
                </c:pt>
                <c:pt idx="261">
                  <c:v>245.37807699993601</c:v>
                </c:pt>
                <c:pt idx="262">
                  <c:v>247.269502999938</c:v>
                </c:pt>
                <c:pt idx="263">
                  <c:v>247.269502999938</c:v>
                </c:pt>
                <c:pt idx="264">
                  <c:v>249.15466599993999</c:v>
                </c:pt>
                <c:pt idx="265">
                  <c:v>249.15466599993999</c:v>
                </c:pt>
                <c:pt idx="266">
                  <c:v>251.03982899994199</c:v>
                </c:pt>
                <c:pt idx="267">
                  <c:v>251.03982899994199</c:v>
                </c:pt>
                <c:pt idx="268">
                  <c:v>252.931254999944</c:v>
                </c:pt>
                <c:pt idx="269">
                  <c:v>252.931254999944</c:v>
                </c:pt>
                <c:pt idx="270">
                  <c:v>254.82268099994499</c:v>
                </c:pt>
                <c:pt idx="271">
                  <c:v>254.82268099994499</c:v>
                </c:pt>
                <c:pt idx="272">
                  <c:v>256.71410699994601</c:v>
                </c:pt>
                <c:pt idx="273">
                  <c:v>256.71410699994601</c:v>
                </c:pt>
                <c:pt idx="274">
                  <c:v>258.59926999994298</c:v>
                </c:pt>
                <c:pt idx="275">
                  <c:v>258.59926999994298</c:v>
                </c:pt>
                <c:pt idx="276">
                  <c:v>260.49069599994101</c:v>
                </c:pt>
                <c:pt idx="277">
                  <c:v>260.49069599994101</c:v>
                </c:pt>
                <c:pt idx="278">
                  <c:v>262.38212199993802</c:v>
                </c:pt>
                <c:pt idx="279">
                  <c:v>262.38212199993802</c:v>
                </c:pt>
                <c:pt idx="280">
                  <c:v>264.273547999936</c:v>
                </c:pt>
                <c:pt idx="281">
                  <c:v>264.273547999936</c:v>
                </c:pt>
                <c:pt idx="282">
                  <c:v>266.15871099993302</c:v>
                </c:pt>
                <c:pt idx="283">
                  <c:v>266.15871099993302</c:v>
                </c:pt>
                <c:pt idx="284">
                  <c:v>268.04387399993101</c:v>
                </c:pt>
                <c:pt idx="285">
                  <c:v>268.04387399993101</c:v>
                </c:pt>
                <c:pt idx="286">
                  <c:v>269.929036999929</c:v>
                </c:pt>
                <c:pt idx="287">
                  <c:v>269.929036999929</c:v>
                </c:pt>
                <c:pt idx="288">
                  <c:v>271.81419999992602</c:v>
                </c:pt>
                <c:pt idx="289">
                  <c:v>271.81419999992602</c:v>
                </c:pt>
                <c:pt idx="290">
                  <c:v>273.705625999924</c:v>
                </c:pt>
                <c:pt idx="291">
                  <c:v>273.705625999924</c:v>
                </c:pt>
                <c:pt idx="292">
                  <c:v>275.59078899992102</c:v>
                </c:pt>
                <c:pt idx="293">
                  <c:v>275.59078899992102</c:v>
                </c:pt>
                <c:pt idx="294">
                  <c:v>277.475951999919</c:v>
                </c:pt>
                <c:pt idx="295">
                  <c:v>277.475951999919</c:v>
                </c:pt>
                <c:pt idx="296">
                  <c:v>279.36111499991603</c:v>
                </c:pt>
                <c:pt idx="297">
                  <c:v>279.36111499991603</c:v>
                </c:pt>
                <c:pt idx="298">
                  <c:v>281.24627799991401</c:v>
                </c:pt>
                <c:pt idx="299">
                  <c:v>281.24627799991401</c:v>
                </c:pt>
                <c:pt idx="300">
                  <c:v>283.13770399991199</c:v>
                </c:pt>
                <c:pt idx="301">
                  <c:v>283.13770399991199</c:v>
                </c:pt>
                <c:pt idx="302">
                  <c:v>285.01660399990902</c:v>
                </c:pt>
                <c:pt idx="303">
                  <c:v>285.01660399990902</c:v>
                </c:pt>
                <c:pt idx="304">
                  <c:v>286.908029999907</c:v>
                </c:pt>
                <c:pt idx="305">
                  <c:v>286.908029999907</c:v>
                </c:pt>
                <c:pt idx="306">
                  <c:v>288.79319299990402</c:v>
                </c:pt>
                <c:pt idx="307">
                  <c:v>288.79319299990402</c:v>
                </c:pt>
                <c:pt idx="308">
                  <c:v>290.67835599990201</c:v>
                </c:pt>
                <c:pt idx="309">
                  <c:v>290.67835599990201</c:v>
                </c:pt>
                <c:pt idx="310">
                  <c:v>292.55725599990001</c:v>
                </c:pt>
                <c:pt idx="311">
                  <c:v>292.55725599990001</c:v>
                </c:pt>
                <c:pt idx="312">
                  <c:v>294.44868199989702</c:v>
                </c:pt>
                <c:pt idx="313">
                  <c:v>294.44868199989702</c:v>
                </c:pt>
                <c:pt idx="314">
                  <c:v>296.33384499989501</c:v>
                </c:pt>
                <c:pt idx="315">
                  <c:v>296.33384499989501</c:v>
                </c:pt>
                <c:pt idx="316">
                  <c:v>298.21900799989203</c:v>
                </c:pt>
                <c:pt idx="317">
                  <c:v>298.21900799989203</c:v>
                </c:pt>
                <c:pt idx="318">
                  <c:v>300.10417099989002</c:v>
                </c:pt>
                <c:pt idx="319">
                  <c:v>300.10417099989002</c:v>
                </c:pt>
                <c:pt idx="320">
                  <c:v>301.99559699988703</c:v>
                </c:pt>
                <c:pt idx="321">
                  <c:v>301.99559699988703</c:v>
                </c:pt>
                <c:pt idx="322">
                  <c:v>303.887022999885</c:v>
                </c:pt>
                <c:pt idx="323">
                  <c:v>303.887022999885</c:v>
                </c:pt>
                <c:pt idx="324">
                  <c:v>305.77844899988298</c:v>
                </c:pt>
                <c:pt idx="325">
                  <c:v>305.77844899988298</c:v>
                </c:pt>
                <c:pt idx="326">
                  <c:v>307.66987499987999</c:v>
                </c:pt>
                <c:pt idx="327">
                  <c:v>307.66987499987999</c:v>
                </c:pt>
                <c:pt idx="328">
                  <c:v>309.55503799987798</c:v>
                </c:pt>
                <c:pt idx="329">
                  <c:v>309.55503799987798</c:v>
                </c:pt>
                <c:pt idx="330">
                  <c:v>311.440200999875</c:v>
                </c:pt>
                <c:pt idx="331">
                  <c:v>311.440200999875</c:v>
                </c:pt>
                <c:pt idx="332">
                  <c:v>313.32536399987299</c:v>
                </c:pt>
                <c:pt idx="333">
                  <c:v>313.32536399987299</c:v>
                </c:pt>
                <c:pt idx="334">
                  <c:v>315.21052699987001</c:v>
                </c:pt>
                <c:pt idx="335">
                  <c:v>315.21052699987001</c:v>
                </c:pt>
                <c:pt idx="336">
                  <c:v>317.10195299986799</c:v>
                </c:pt>
                <c:pt idx="337">
                  <c:v>317.10195299986799</c:v>
                </c:pt>
                <c:pt idx="338">
                  <c:v>318.98711599986598</c:v>
                </c:pt>
                <c:pt idx="339">
                  <c:v>318.98711599986598</c:v>
                </c:pt>
                <c:pt idx="340">
                  <c:v>320.872278999863</c:v>
                </c:pt>
                <c:pt idx="341">
                  <c:v>320.872278999863</c:v>
                </c:pt>
                <c:pt idx="342">
                  <c:v>322.75744199986099</c:v>
                </c:pt>
                <c:pt idx="343">
                  <c:v>322.75744199986099</c:v>
                </c:pt>
                <c:pt idx="344">
                  <c:v>324.64260499985801</c:v>
                </c:pt>
                <c:pt idx="345">
                  <c:v>324.64260499985801</c:v>
                </c:pt>
                <c:pt idx="346">
                  <c:v>326.527767999856</c:v>
                </c:pt>
                <c:pt idx="347">
                  <c:v>326.527767999856</c:v>
                </c:pt>
                <c:pt idx="348">
                  <c:v>328.41919399985301</c:v>
                </c:pt>
                <c:pt idx="349">
                  <c:v>328.41919399985301</c:v>
                </c:pt>
                <c:pt idx="350">
                  <c:v>330.31061999985099</c:v>
                </c:pt>
                <c:pt idx="351">
                  <c:v>330.31061999985099</c:v>
                </c:pt>
                <c:pt idx="352">
                  <c:v>332.20204599984902</c:v>
                </c:pt>
                <c:pt idx="353">
                  <c:v>332.20204599984902</c:v>
                </c:pt>
                <c:pt idx="354">
                  <c:v>334.09347199984597</c:v>
                </c:pt>
                <c:pt idx="355">
                  <c:v>334.09347199984597</c:v>
                </c:pt>
                <c:pt idx="356">
                  <c:v>335.97863499984402</c:v>
                </c:pt>
                <c:pt idx="357">
                  <c:v>335.97863499984402</c:v>
                </c:pt>
                <c:pt idx="358">
                  <c:v>337.86379799984098</c:v>
                </c:pt>
                <c:pt idx="359">
                  <c:v>337.86379799984098</c:v>
                </c:pt>
                <c:pt idx="360">
                  <c:v>339.74896099983903</c:v>
                </c:pt>
                <c:pt idx="361">
                  <c:v>339.74896099983903</c:v>
                </c:pt>
                <c:pt idx="362">
                  <c:v>341.63412399983599</c:v>
                </c:pt>
                <c:pt idx="363">
                  <c:v>341.63412399983599</c:v>
                </c:pt>
                <c:pt idx="364">
                  <c:v>343.52554999983403</c:v>
                </c:pt>
                <c:pt idx="365">
                  <c:v>343.52554999983403</c:v>
                </c:pt>
                <c:pt idx="366">
                  <c:v>345.416975999832</c:v>
                </c:pt>
                <c:pt idx="367">
                  <c:v>345.416975999832</c:v>
                </c:pt>
                <c:pt idx="368">
                  <c:v>347.30840199982902</c:v>
                </c:pt>
                <c:pt idx="369">
                  <c:v>347.30840199982902</c:v>
                </c:pt>
                <c:pt idx="370">
                  <c:v>349.193564999827</c:v>
                </c:pt>
                <c:pt idx="371">
                  <c:v>349.193564999827</c:v>
                </c:pt>
                <c:pt idx="372">
                  <c:v>351.07872799982403</c:v>
                </c:pt>
                <c:pt idx="373">
                  <c:v>351.07872799982403</c:v>
                </c:pt>
                <c:pt idx="374">
                  <c:v>352.96389099982201</c:v>
                </c:pt>
                <c:pt idx="375">
                  <c:v>352.96389099982201</c:v>
                </c:pt>
                <c:pt idx="376">
                  <c:v>354.84905399981898</c:v>
                </c:pt>
                <c:pt idx="377">
                  <c:v>354.84905399981898</c:v>
                </c:pt>
                <c:pt idx="378">
                  <c:v>356.73421699981702</c:v>
                </c:pt>
                <c:pt idx="379">
                  <c:v>356.73421699981702</c:v>
                </c:pt>
                <c:pt idx="380">
                  <c:v>358.61937999981501</c:v>
                </c:pt>
                <c:pt idx="381">
                  <c:v>358.61937999981501</c:v>
                </c:pt>
              </c:numCache>
            </c:numRef>
          </c:xVal>
          <c:yVal>
            <c:numRef>
              <c:f>pat_result!$C$2:$C$401</c:f>
              <c:numCache>
                <c:formatCode>0.000000000_);[Red]\(0.000000000\)</c:formatCode>
                <c:ptCount val="400"/>
                <c:pt idx="0">
                  <c:v>0.94524748808722792</c:v>
                </c:pt>
                <c:pt idx="1">
                  <c:v>0.94524923813766293</c:v>
                </c:pt>
                <c:pt idx="2">
                  <c:v>0.94497717797524594</c:v>
                </c:pt>
                <c:pt idx="3">
                  <c:v>0.94603444901559697</c:v>
                </c:pt>
                <c:pt idx="4">
                  <c:v>0.94522700403451099</c:v>
                </c:pt>
                <c:pt idx="5">
                  <c:v>0.94735275834575794</c:v>
                </c:pt>
                <c:pt idx="6">
                  <c:v>0.94599014629422007</c:v>
                </c:pt>
                <c:pt idx="7">
                  <c:v>0.949168048206669</c:v>
                </c:pt>
                <c:pt idx="8">
                  <c:v>0.94728102231726308</c:v>
                </c:pt>
                <c:pt idx="9">
                  <c:v>0.95151806762449498</c:v>
                </c:pt>
                <c:pt idx="10">
                  <c:v>0.94907952268458395</c:v>
                </c:pt>
                <c:pt idx="11">
                  <c:v>0.95436392135500703</c:v>
                </c:pt>
                <c:pt idx="12">
                  <c:v>0.95138190500238895</c:v>
                </c:pt>
                <c:pt idx="13">
                  <c:v>0.95770408736538903</c:v>
                </c:pt>
                <c:pt idx="14">
                  <c:v>0.95419071174256909</c:v>
                </c:pt>
                <c:pt idx="15">
                  <c:v>0.96154300925095504</c:v>
                </c:pt>
                <c:pt idx="16">
                  <c:v>0.95753826480066206</c:v>
                </c:pt>
                <c:pt idx="17">
                  <c:v>0.96592152144339105</c:v>
                </c:pt>
                <c:pt idx="18">
                  <c:v>0.961367744069618</c:v>
                </c:pt>
                <c:pt idx="19">
                  <c:v>0.97076386618997201</c:v>
                </c:pt>
                <c:pt idx="20">
                  <c:v>0.965801046094242</c:v>
                </c:pt>
                <c:pt idx="21">
                  <c:v>0.97621979995106301</c:v>
                </c:pt>
                <c:pt idx="22">
                  <c:v>0.97069805780903196</c:v>
                </c:pt>
                <c:pt idx="23">
                  <c:v>0.98211321998968393</c:v>
                </c:pt>
                <c:pt idx="24">
                  <c:v>0.97607360464304593</c:v>
                </c:pt>
                <c:pt idx="25">
                  <c:v>0.98846317906143399</c:v>
                </c:pt>
                <c:pt idx="26">
                  <c:v>0.98191438885026805</c:v>
                </c:pt>
                <c:pt idx="27">
                  <c:v>0.99525356523518005</c:v>
                </c:pt>
                <c:pt idx="28">
                  <c:v>0.98822744019359299</c:v>
                </c:pt>
                <c:pt idx="29">
                  <c:v>1.0024913652279299</c:v>
                </c:pt>
                <c:pt idx="30">
                  <c:v>0.99493217729819894</c:v>
                </c:pt>
                <c:pt idx="31">
                  <c:v>1.0100837495571</c:v>
                </c:pt>
                <c:pt idx="32">
                  <c:v>1.0021252372424398</c:v>
                </c:pt>
                <c:pt idx="33">
                  <c:v>1.01813835664629</c:v>
                </c:pt>
                <c:pt idx="34">
                  <c:v>1.0097488081775099</c:v>
                </c:pt>
                <c:pt idx="35">
                  <c:v>1.0265870991911301</c:v>
                </c:pt>
                <c:pt idx="36">
                  <c:v>1.0177861585964301</c:v>
                </c:pt>
                <c:pt idx="37">
                  <c:v>1.03540869521821</c:v>
                </c:pt>
                <c:pt idx="38">
                  <c:v>1.02616136599857</c:v>
                </c:pt>
                <c:pt idx="39">
                  <c:v>1.0445175228924302</c:v>
                </c:pt>
                <c:pt idx="40">
                  <c:v>1.03490564213202</c:v>
                </c:pt>
                <c:pt idx="41">
                  <c:v>1.0539448266853599</c:v>
                </c:pt>
                <c:pt idx="42">
                  <c:v>1.0440574174758799</c:v>
                </c:pt>
                <c:pt idx="43">
                  <c:v>1.0637276141807099</c:v>
                </c:pt>
                <c:pt idx="44">
                  <c:v>1.0535333102836899</c:v>
                </c:pt>
                <c:pt idx="45">
                  <c:v>1.07377178266325</c:v>
                </c:pt>
                <c:pt idx="46">
                  <c:v>1.0633041698582399</c:v>
                </c:pt>
                <c:pt idx="47">
                  <c:v>1.0840420362274301</c:v>
                </c:pt>
                <c:pt idx="48">
                  <c:v>1.07327066675121</c:v>
                </c:pt>
                <c:pt idx="49">
                  <c:v>1.0944300245869201</c:v>
                </c:pt>
                <c:pt idx="50">
                  <c:v>1.0835306388050301</c:v>
                </c:pt>
                <c:pt idx="51">
                  <c:v>1.10503279083827</c:v>
                </c:pt>
                <c:pt idx="52">
                  <c:v>1.0939103911584001</c:v>
                </c:pt>
                <c:pt idx="53">
                  <c:v>1.1156656323407799</c:v>
                </c:pt>
                <c:pt idx="54">
                  <c:v>1.1045422693134199</c:v>
                </c:pt>
                <c:pt idx="55">
                  <c:v>1.1264580192667</c:v>
                </c:pt>
                <c:pt idx="56">
                  <c:v>1.1151714549454199</c:v>
                </c:pt>
                <c:pt idx="57">
                  <c:v>1.1371457081288399</c:v>
                </c:pt>
                <c:pt idx="58">
                  <c:v>1.1259268693129501</c:v>
                </c:pt>
                <c:pt idx="59">
                  <c:v>1.1478528902019101</c:v>
                </c:pt>
                <c:pt idx="60">
                  <c:v>1.1366512583309301</c:v>
                </c:pt>
                <c:pt idx="61">
                  <c:v>1.15841676063994</c:v>
                </c:pt>
                <c:pt idx="62">
                  <c:v>1.14729142839881</c:v>
                </c:pt>
                <c:pt idx="63">
                  <c:v>1.16878004276013</c:v>
                </c:pt>
                <c:pt idx="64">
                  <c:v>1.15793218007217</c:v>
                </c:pt>
                <c:pt idx="65">
                  <c:v>1.17901823780259</c:v>
                </c:pt>
                <c:pt idx="66">
                  <c:v>1.16830443603713</c:v>
                </c:pt>
                <c:pt idx="67">
                  <c:v>1.1888667320314299</c:v>
                </c:pt>
                <c:pt idx="68">
                  <c:v>1.17852113933017</c:v>
                </c:pt>
                <c:pt idx="69">
                  <c:v>1.198427897705</c:v>
                </c:pt>
                <c:pt idx="70">
                  <c:v>1.18841769891331</c:v>
                </c:pt>
                <c:pt idx="71">
                  <c:v>1.20754167046043</c:v>
                </c:pt>
                <c:pt idx="72">
                  <c:v>1.1979965625786699</c:v>
                </c:pt>
                <c:pt idx="73">
                  <c:v>1.21620533718321</c:v>
                </c:pt>
                <c:pt idx="74">
                  <c:v>1.2071604790544199</c:v>
                </c:pt>
                <c:pt idx="75">
                  <c:v>1.2243255344286401</c:v>
                </c:pt>
                <c:pt idx="76">
                  <c:v>1.21579016230535</c:v>
                </c:pt>
                <c:pt idx="77">
                  <c:v>1.2317942498261401</c:v>
                </c:pt>
                <c:pt idx="78">
                  <c:v>1.2238865627023798</c:v>
                </c:pt>
                <c:pt idx="79">
                  <c:v>1.23861058522581</c:v>
                </c:pt>
                <c:pt idx="80">
                  <c:v>1.23146220916455</c:v>
                </c:pt>
                <c:pt idx="81">
                  <c:v>1.2447789342197901</c:v>
                </c:pt>
                <c:pt idx="82">
                  <c:v>1.2383099772099999</c:v>
                </c:pt>
                <c:pt idx="83">
                  <c:v>1.25012809464634</c:v>
                </c:pt>
                <c:pt idx="84">
                  <c:v>1.24449322465249</c:v>
                </c:pt>
                <c:pt idx="85">
                  <c:v>1.2547068762848801</c:v>
                </c:pt>
                <c:pt idx="86">
                  <c:v>1.24991426043224</c:v>
                </c:pt>
                <c:pt idx="87">
                  <c:v>1.2584384765693799</c:v>
                </c:pt>
                <c:pt idx="88">
                  <c:v>1.25452835464545</c:v>
                </c:pt>
                <c:pt idx="89">
                  <c:v>1.26129116585959</c:v>
                </c:pt>
                <c:pt idx="90">
                  <c:v>1.2582747694938199</c:v>
                </c:pt>
                <c:pt idx="91">
                  <c:v>1.2632304355721</c:v>
                </c:pt>
                <c:pt idx="92">
                  <c:v>1.2611552162151498</c:v>
                </c:pt>
                <c:pt idx="93">
                  <c:v>1.2642614286721601</c:v>
                </c:pt>
                <c:pt idx="94">
                  <c:v>1.2631554300597099</c:v>
                </c:pt>
                <c:pt idx="95">
                  <c:v>1.2643729412134401</c:v>
                </c:pt>
                <c:pt idx="96">
                  <c:v>1.2642359354484398</c:v>
                </c:pt>
                <c:pt idx="97">
                  <c:v>1.2635540666029599</c:v>
                </c:pt>
                <c:pt idx="98">
                  <c:v>1.26438722752566</c:v>
                </c:pt>
                <c:pt idx="99">
                  <c:v>1.2618119417064602</c:v>
                </c:pt>
                <c:pt idx="100">
                  <c:v>1.2636162208450801</c:v>
                </c:pt>
                <c:pt idx="101">
                  <c:v>1.25918227929511</c:v>
                </c:pt>
                <c:pt idx="102">
                  <c:v>1.26193357705553</c:v>
                </c:pt>
                <c:pt idx="103">
                  <c:v>1.2556789549146601</c:v>
                </c:pt>
                <c:pt idx="104">
                  <c:v>1.25932361694599</c:v>
                </c:pt>
                <c:pt idx="105">
                  <c:v>1.2512839389332602</c:v>
                </c:pt>
                <c:pt idx="106">
                  <c:v>1.2558342040822301</c:v>
                </c:pt>
                <c:pt idx="107">
                  <c:v>1.24608368537018</c:v>
                </c:pt>
                <c:pt idx="108">
                  <c:v>1.2515196103627</c:v>
                </c:pt>
                <c:pt idx="109">
                  <c:v>1.2401502042419801</c:v>
                </c:pt>
                <c:pt idx="110">
                  <c:v>1.24639557489169</c:v>
                </c:pt>
                <c:pt idx="111">
                  <c:v>1.2334992142977799</c:v>
                </c:pt>
                <c:pt idx="112">
                  <c:v>1.2405039766061701</c:v>
                </c:pt>
                <c:pt idx="113">
                  <c:v>1.2261827199452602</c:v>
                </c:pt>
                <c:pt idx="114">
                  <c:v>1.23382246441362</c:v>
                </c:pt>
                <c:pt idx="115">
                  <c:v>1.2181743212228799</c:v>
                </c:pt>
                <c:pt idx="116">
                  <c:v>1.2264849153517801</c:v>
                </c:pt>
                <c:pt idx="117">
                  <c:v>1.2096334510147699</c:v>
                </c:pt>
                <c:pt idx="118">
                  <c:v>1.2185271301804599</c:v>
                </c:pt>
                <c:pt idx="119">
                  <c:v>1.2005966099242</c:v>
                </c:pt>
                <c:pt idx="120">
                  <c:v>1.21000882611349</c:v>
                </c:pt>
                <c:pt idx="121">
                  <c:v>1.1911270400743301</c:v>
                </c:pt>
                <c:pt idx="122">
                  <c:v>1.2010530974092999</c:v>
                </c:pt>
                <c:pt idx="123">
                  <c:v>1.1813548314536602</c:v>
                </c:pt>
                <c:pt idx="124">
                  <c:v>1.19166726168967</c:v>
                </c:pt>
                <c:pt idx="125">
                  <c:v>1.17128095894749</c:v>
                </c:pt>
                <c:pt idx="126">
                  <c:v>1.18191388239826</c:v>
                </c:pt>
                <c:pt idx="127">
                  <c:v>1.1609671129776</c:v>
                </c:pt>
                <c:pt idx="128">
                  <c:v>1.1718214049836</c:v>
                </c:pt>
                <c:pt idx="129">
                  <c:v>1.15043831934484</c:v>
                </c:pt>
                <c:pt idx="130">
                  <c:v>1.1614146763400199</c:v>
                </c:pt>
                <c:pt idx="131">
                  <c:v>1.1397166174172</c:v>
                </c:pt>
                <c:pt idx="132">
                  <c:v>1.15085721671778</c:v>
                </c:pt>
                <c:pt idx="133">
                  <c:v>1.1289649889295998</c:v>
                </c:pt>
                <c:pt idx="134">
                  <c:v>1.1401747718002</c:v>
                </c:pt>
                <c:pt idx="135">
                  <c:v>1.1182030238026699</c:v>
                </c:pt>
                <c:pt idx="136">
                  <c:v>1.12942480149627</c:v>
                </c:pt>
                <c:pt idx="137">
                  <c:v>1.1074825505846799</c:v>
                </c:pt>
                <c:pt idx="138">
                  <c:v>1.1186621785703099</c:v>
                </c:pt>
                <c:pt idx="139">
                  <c:v>1.09685246111873</c:v>
                </c:pt>
                <c:pt idx="140">
                  <c:v>1.10793891327601</c:v>
                </c:pt>
                <c:pt idx="141">
                  <c:v>1.08635845486983</c:v>
                </c:pt>
                <c:pt idx="142">
                  <c:v>1.0973390545964701</c:v>
                </c:pt>
                <c:pt idx="143">
                  <c:v>1.0760767680335199</c:v>
                </c:pt>
                <c:pt idx="144">
                  <c:v>1.0869068064301299</c:v>
                </c:pt>
                <c:pt idx="145">
                  <c:v>1.0660443087139899</c:v>
                </c:pt>
                <c:pt idx="146">
                  <c:v>1.0765809296653299</c:v>
                </c:pt>
                <c:pt idx="147">
                  <c:v>1.05619769062178</c:v>
                </c:pt>
                <c:pt idx="148">
                  <c:v>1.06647076670277</c:v>
                </c:pt>
                <c:pt idx="149">
                  <c:v>1.04663744045673</c:v>
                </c:pt>
                <c:pt idx="150">
                  <c:v>1.0566126139608201</c:v>
                </c:pt>
                <c:pt idx="151">
                  <c:v>1.0373935969700299</c:v>
                </c:pt>
                <c:pt idx="152">
                  <c:v>1.0470707105045201</c:v>
                </c:pt>
                <c:pt idx="153">
                  <c:v>1.02852211239022</c:v>
                </c:pt>
                <c:pt idx="154">
                  <c:v>1.0378116843268199</c:v>
                </c:pt>
                <c:pt idx="155">
                  <c:v>1.01998834822399</c:v>
                </c:pt>
                <c:pt idx="156">
                  <c:v>1.0289239076536401</c:v>
                </c:pt>
                <c:pt idx="157">
                  <c:v>1.0118704474579199</c:v>
                </c:pt>
                <c:pt idx="158">
                  <c:v>1.0204280700516701</c:v>
                </c:pt>
                <c:pt idx="159">
                  <c:v>1.0041837363589499</c:v>
                </c:pt>
                <c:pt idx="160">
                  <c:v>1.01226285034883</c:v>
                </c:pt>
                <c:pt idx="161">
                  <c:v>0.99687048877197104</c:v>
                </c:pt>
                <c:pt idx="162">
                  <c:v>1.00455567892264</c:v>
                </c:pt>
                <c:pt idx="163">
                  <c:v>0.99004255862360901</c:v>
                </c:pt>
                <c:pt idx="164">
                  <c:v>0.99722103367628101</c:v>
                </c:pt>
                <c:pt idx="165">
                  <c:v>0.98362218567247295</c:v>
                </c:pt>
                <c:pt idx="166">
                  <c:v>0.99037116083575494</c:v>
                </c:pt>
                <c:pt idx="167">
                  <c:v>0.97770590758831899</c:v>
                </c:pt>
                <c:pt idx="168">
                  <c:v>0.98396921370172907</c:v>
                </c:pt>
                <c:pt idx="169">
                  <c:v>0.97225956940896907</c:v>
                </c:pt>
                <c:pt idx="170">
                  <c:v>0.97802673551324504</c:v>
                </c:pt>
                <c:pt idx="171">
                  <c:v>0.96729178634621704</c:v>
                </c:pt>
                <c:pt idx="172">
                  <c:v>0.97251884886691597</c:v>
                </c:pt>
                <c:pt idx="173">
                  <c:v>0.96278163373122505</c:v>
                </c:pt>
                <c:pt idx="174">
                  <c:v>0.96749545864248498</c:v>
                </c:pt>
                <c:pt idx="175">
                  <c:v>0.95877021699941101</c:v>
                </c:pt>
                <c:pt idx="176">
                  <c:v>0.96299249707579804</c:v>
                </c:pt>
                <c:pt idx="177">
                  <c:v>0.95528443665255303</c:v>
                </c:pt>
                <c:pt idx="178">
                  <c:v>0.95895633034231609</c:v>
                </c:pt>
                <c:pt idx="179">
                  <c:v>0.952282230783006</c:v>
                </c:pt>
                <c:pt idx="180">
                  <c:v>0.95542399398227695</c:v>
                </c:pt>
                <c:pt idx="181">
                  <c:v>0.94979215979972498</c:v>
                </c:pt>
                <c:pt idx="182">
                  <c:v>0.95241834628810096</c:v>
                </c:pt>
                <c:pt idx="183">
                  <c:v>0.94782850931454099</c:v>
                </c:pt>
                <c:pt idx="184">
                  <c:v>0.94990291940017202</c:v>
                </c:pt>
                <c:pt idx="185">
                  <c:v>0.946367292680794</c:v>
                </c:pt>
                <c:pt idx="186">
                  <c:v>0.94790242927202295</c:v>
                </c:pt>
                <c:pt idx="187">
                  <c:v>0.94542489617944503</c:v>
                </c:pt>
                <c:pt idx="188">
                  <c:v>0.94641910893542203</c:v>
                </c:pt>
                <c:pt idx="189">
                  <c:v>0.94500233155482005</c:v>
                </c:pt>
                <c:pt idx="190">
                  <c:v>0.94545684864672908</c:v>
                </c:pt>
                <c:pt idx="191">
                  <c:v>0.94509889816334303</c:v>
                </c:pt>
                <c:pt idx="192">
                  <c:v>0.94501035565256397</c:v>
                </c:pt>
                <c:pt idx="193">
                  <c:v>0.9457150826532289</c:v>
                </c:pt>
                <c:pt idx="194">
                  <c:v>0.94508415535951407</c:v>
                </c:pt>
                <c:pt idx="195">
                  <c:v>0.946850867226676</c:v>
                </c:pt>
                <c:pt idx="196">
                  <c:v>0.94567534358199501</c:v>
                </c:pt>
                <c:pt idx="197">
                  <c:v>0.94849857961278605</c:v>
                </c:pt>
                <c:pt idx="198">
                  <c:v>0.94678719601991601</c:v>
                </c:pt>
                <c:pt idx="199">
                  <c:v>0.95066739986153004</c:v>
                </c:pt>
                <c:pt idx="200">
                  <c:v>0.94841118562846305</c:v>
                </c:pt>
                <c:pt idx="201">
                  <c:v>0.95334051890595806</c:v>
                </c:pt>
                <c:pt idx="202">
                  <c:v>0.95054831990802002</c:v>
                </c:pt>
                <c:pt idx="203">
                  <c:v>0.95652111396377792</c:v>
                </c:pt>
                <c:pt idx="204">
                  <c:v>0.95318658647355503</c:v>
                </c:pt>
                <c:pt idx="205">
                  <c:v>0.96019225594980295</c:v>
                </c:pt>
                <c:pt idx="206">
                  <c:v>0.95634048217580803</c:v>
                </c:pt>
                <c:pt idx="207">
                  <c:v>0.96437371615017997</c:v>
                </c:pt>
                <c:pt idx="208">
                  <c:v>0.95998523005781899</c:v>
                </c:pt>
                <c:pt idx="209">
                  <c:v>0.96903207948288506</c:v>
                </c:pt>
                <c:pt idx="210">
                  <c:v>0.964155071394587</c:v>
                </c:pt>
                <c:pt idx="211">
                  <c:v>0.97420964582406799</c:v>
                </c:pt>
                <c:pt idx="212">
                  <c:v>0.96880552458859293</c:v>
                </c:pt>
                <c:pt idx="213">
                  <c:v>0.97984961230194789</c:v>
                </c:pt>
                <c:pt idx="214">
                  <c:v>0.97396073370705993</c:v>
                </c:pt>
                <c:pt idx="215">
                  <c:v>0.98598017795271797</c:v>
                </c:pt>
                <c:pt idx="216">
                  <c:v>0.979598211907036</c:v>
                </c:pt>
                <c:pt idx="217">
                  <c:v>0.99257274554550601</c:v>
                </c:pt>
                <c:pt idx="218">
                  <c:v>0.98568778875817098</c:v>
                </c:pt>
                <c:pt idx="219">
                  <c:v>0.99959104081793404</c:v>
                </c:pt>
                <c:pt idx="220">
                  <c:v>0.99223688345361505</c:v>
                </c:pt>
                <c:pt idx="221">
                  <c:v>1.0070422256618301</c:v>
                </c:pt>
                <c:pt idx="222">
                  <c:v>0.99923334985322299</c:v>
                </c:pt>
                <c:pt idx="223">
                  <c:v>1.0149104757476799</c:v>
                </c:pt>
                <c:pt idx="224">
                  <c:v>1.0066634817334201</c:v>
                </c:pt>
                <c:pt idx="225">
                  <c:v>1.0231779121142299</c:v>
                </c:pt>
                <c:pt idx="226">
                  <c:v>1.0145114584425801</c:v>
                </c:pt>
                <c:pt idx="227">
                  <c:v>1.03182447029235</c:v>
                </c:pt>
                <c:pt idx="228">
                  <c:v>1.02273157837191</c:v>
                </c:pt>
                <c:pt idx="229">
                  <c:v>1.0407970532706601</c:v>
                </c:pt>
                <c:pt idx="230">
                  <c:v>1.03138791720529</c:v>
                </c:pt>
                <c:pt idx="231">
                  <c:v>1.05016202881936</c:v>
                </c:pt>
                <c:pt idx="232">
                  <c:v>1.0404043252047199</c:v>
                </c:pt>
                <c:pt idx="233">
                  <c:v>1.0598325906436199</c:v>
                </c:pt>
                <c:pt idx="234">
                  <c:v>1.04972410139094</c:v>
                </c:pt>
                <c:pt idx="235">
                  <c:v>1.06974426448414</c:v>
                </c:pt>
                <c:pt idx="236">
                  <c:v>1.05934880744662</c:v>
                </c:pt>
                <c:pt idx="237">
                  <c:v>1.0798948834648201</c:v>
                </c:pt>
                <c:pt idx="238">
                  <c:v>1.06924776092999</c:v>
                </c:pt>
                <c:pt idx="239">
                  <c:v>1.0902475096711</c:v>
                </c:pt>
                <c:pt idx="240">
                  <c:v>1.07942141879669</c:v>
                </c:pt>
                <c:pt idx="241">
                  <c:v>1.1007973513911999</c:v>
                </c:pt>
                <c:pt idx="242">
                  <c:v>1.0898002625607199</c:v>
                </c:pt>
                <c:pt idx="243">
                  <c:v>1.11146658642798</c:v>
                </c:pt>
                <c:pt idx="244">
                  <c:v>1.1003088566547199</c:v>
                </c:pt>
                <c:pt idx="245">
                  <c:v>1.12217276319305</c:v>
                </c:pt>
                <c:pt idx="246">
                  <c:v>1.1109381425730001</c:v>
                </c:pt>
                <c:pt idx="247">
                  <c:v>1.1329014871003</c:v>
                </c:pt>
                <c:pt idx="248">
                  <c:v>1.1216062363839598</c:v>
                </c:pt>
                <c:pt idx="249">
                  <c:v>1.1435648965988601</c:v>
                </c:pt>
                <c:pt idx="250">
                  <c:v>1.13237071232891</c:v>
                </c:pt>
                <c:pt idx="251">
                  <c:v>1.1542141670942601</c:v>
                </c:pt>
                <c:pt idx="252">
                  <c:v>1.14303686860345</c:v>
                </c:pt>
                <c:pt idx="253">
                  <c:v>1.1646507374906301</c:v>
                </c:pt>
                <c:pt idx="254">
                  <c:v>1.1536565999567501</c:v>
                </c:pt>
                <c:pt idx="255">
                  <c:v>1.17492015303412</c:v>
                </c:pt>
                <c:pt idx="256">
                  <c:v>1.1641021747739801</c:v>
                </c:pt>
                <c:pt idx="257">
                  <c:v>1.1848930784179701</c:v>
                </c:pt>
                <c:pt idx="258">
                  <c:v>1.1743500016316901</c:v>
                </c:pt>
                <c:pt idx="259">
                  <c:v>1.19454210551597</c:v>
                </c:pt>
                <c:pt idx="260">
                  <c:v>1.18440493225351</c:v>
                </c:pt>
                <c:pt idx="261">
                  <c:v>1.2038649980210501</c:v>
                </c:pt>
                <c:pt idx="262">
                  <c:v>1.19413473937243</c:v>
                </c:pt>
                <c:pt idx="263">
                  <c:v>1.21273259513851</c:v>
                </c:pt>
                <c:pt idx="264">
                  <c:v>1.2034454274951201</c:v>
                </c:pt>
                <c:pt idx="265">
                  <c:v>1.22105523132557</c:v>
                </c:pt>
                <c:pt idx="266">
                  <c:v>1.21230673422668</c:v>
                </c:pt>
                <c:pt idx="267">
                  <c:v>1.2288024008932898</c:v>
                </c:pt>
                <c:pt idx="268">
                  <c:v>1.2206831167104402</c:v>
                </c:pt>
                <c:pt idx="269">
                  <c:v>1.2359383498637899</c:v>
                </c:pt>
                <c:pt idx="270">
                  <c:v>1.2284829811459299</c:v>
                </c:pt>
                <c:pt idx="271">
                  <c:v>1.2423807117966401</c:v>
                </c:pt>
                <c:pt idx="272">
                  <c:v>1.2356473615829298</c:v>
                </c:pt>
                <c:pt idx="273">
                  <c:v>1.2480780134209499</c:v>
                </c:pt>
                <c:pt idx="274">
                  <c:v>1.24210019790718</c:v>
                </c:pt>
                <c:pt idx="275">
                  <c:v>1.2529687274608798</c:v>
                </c:pt>
                <c:pt idx="276">
                  <c:v>1.2478328660000402</c:v>
                </c:pt>
                <c:pt idx="277">
                  <c:v>1.25704460436118</c:v>
                </c:pt>
                <c:pt idx="278">
                  <c:v>1.2527758497459101</c:v>
                </c:pt>
                <c:pt idx="279">
                  <c:v>1.26025344380654</c:v>
                </c:pt>
                <c:pt idx="280">
                  <c:v>1.2568880030726701</c:v>
                </c:pt>
                <c:pt idx="281">
                  <c:v>1.2625677561679001</c:v>
                </c:pt>
                <c:pt idx="282">
                  <c:v>1.2601252323129799</c:v>
                </c:pt>
                <c:pt idx="283">
                  <c:v>1.2639643300096002</c:v>
                </c:pt>
                <c:pt idx="284">
                  <c:v>1.26247490351923</c:v>
                </c:pt>
                <c:pt idx="285">
                  <c:v>1.2644401917196699</c:v>
                </c:pt>
                <c:pt idx="286">
                  <c:v>1.2639167919590799</c:v>
                </c:pt>
                <c:pt idx="287">
                  <c:v>1.26399123406743</c:v>
                </c:pt>
                <c:pt idx="288">
                  <c:v>1.2644384093069101</c:v>
                </c:pt>
                <c:pt idx="289">
                  <c:v>1.26262134185093</c:v>
                </c:pt>
                <c:pt idx="290">
                  <c:v>1.2640323049102999</c:v>
                </c:pt>
                <c:pt idx="291">
                  <c:v>1.2603333084012298</c:v>
                </c:pt>
                <c:pt idx="292">
                  <c:v>1.2627047319153102</c:v>
                </c:pt>
                <c:pt idx="293">
                  <c:v>1.25716205577262</c:v>
                </c:pt>
                <c:pt idx="294">
                  <c:v>1.26046740892933</c:v>
                </c:pt>
                <c:pt idx="295">
                  <c:v>1.2531285118600202</c:v>
                </c:pt>
                <c:pt idx="296">
                  <c:v>1.2573395412246602</c:v>
                </c:pt>
                <c:pt idx="297">
                  <c:v>1.24826671637729</c:v>
                </c:pt>
                <c:pt idx="298">
                  <c:v>1.2533479540529799</c:v>
                </c:pt>
                <c:pt idx="299">
                  <c:v>1.2426168745581501</c:v>
                </c:pt>
                <c:pt idx="300">
                  <c:v>1.2485088974793299</c:v>
                </c:pt>
                <c:pt idx="301">
                  <c:v>1.2362025786595299</c:v>
                </c:pt>
                <c:pt idx="302">
                  <c:v>1.2429143864668799</c:v>
                </c:pt>
                <c:pt idx="303">
                  <c:v>1.2291418983473699</c:v>
                </c:pt>
                <c:pt idx="304">
                  <c:v>1.2365357975434901</c:v>
                </c:pt>
                <c:pt idx="305">
                  <c:v>1.2213958095773201</c:v>
                </c:pt>
                <c:pt idx="306">
                  <c:v>1.2294833970166901</c:v>
                </c:pt>
                <c:pt idx="307">
                  <c:v>1.21309631264615</c:v>
                </c:pt>
                <c:pt idx="308">
                  <c:v>1.2217920601038899</c:v>
                </c:pt>
                <c:pt idx="309">
                  <c:v>1.2042794902244101</c:v>
                </c:pt>
                <c:pt idx="310">
                  <c:v>1.21354818974581</c:v>
                </c:pt>
                <c:pt idx="311">
                  <c:v>1.1950389407659399</c:v>
                </c:pt>
                <c:pt idx="312">
                  <c:v>1.2047270992171599</c:v>
                </c:pt>
                <c:pt idx="313">
                  <c:v>1.1853432875111101</c:v>
                </c:pt>
                <c:pt idx="314">
                  <c:v>1.195476144346</c:v>
                </c:pt>
                <c:pt idx="315">
                  <c:v>1.1753501614529001</c:v>
                </c:pt>
                <c:pt idx="316">
                  <c:v>1.1858298864638801</c:v>
                </c:pt>
                <c:pt idx="317">
                  <c:v>1.165090691938</c:v>
                </c:pt>
                <c:pt idx="318">
                  <c:v>1.1758515746706601</c:v>
                </c:pt>
                <c:pt idx="319">
                  <c:v>1.1546264061254701</c:v>
                </c:pt>
                <c:pt idx="320">
                  <c:v>1.1655694007520401</c:v>
                </c:pt>
                <c:pt idx="321">
                  <c:v>1.1439816524955599</c:v>
                </c:pt>
                <c:pt idx="322">
                  <c:v>1.15507820451684</c:v>
                </c:pt>
                <c:pt idx="323">
                  <c:v>1.1332492293306999</c:v>
                </c:pt>
                <c:pt idx="324">
                  <c:v>1.14443850689611</c:v>
                </c:pt>
                <c:pt idx="325">
                  <c:v>1.12248500847417</c:v>
                </c:pt>
                <c:pt idx="326">
                  <c:v>1.1337086850746301</c:v>
                </c:pt>
                <c:pt idx="327">
                  <c:v>1.1117420037714101</c:v>
                </c:pt>
                <c:pt idx="328">
                  <c:v>1.12298032737785</c:v>
                </c:pt>
                <c:pt idx="329">
                  <c:v>1.1011054745670801</c:v>
                </c:pt>
                <c:pt idx="330">
                  <c:v>1.11227069454922</c:v>
                </c:pt>
                <c:pt idx="331">
                  <c:v>1.0905862222367901</c:v>
                </c:pt>
                <c:pt idx="332">
                  <c:v>1.1016295245732799</c:v>
                </c:pt>
                <c:pt idx="333">
                  <c:v>1.0802276847719601</c:v>
                </c:pt>
                <c:pt idx="334">
                  <c:v>1.0911034602738798</c:v>
                </c:pt>
                <c:pt idx="335">
                  <c:v>1.07006992013685</c:v>
                </c:pt>
                <c:pt idx="336">
                  <c:v>1.0807018440713501</c:v>
                </c:pt>
                <c:pt idx="337">
                  <c:v>1.0601174114623599</c:v>
                </c:pt>
                <c:pt idx="338">
                  <c:v>1.07053399728433</c:v>
                </c:pt>
                <c:pt idx="339">
                  <c:v>1.0504700282944899</c:v>
                </c:pt>
                <c:pt idx="340">
                  <c:v>1.06060225722917</c:v>
                </c:pt>
                <c:pt idx="341">
                  <c:v>1.0411252265445698</c:v>
                </c:pt>
                <c:pt idx="342">
                  <c:v>1.05094066874474</c:v>
                </c:pt>
                <c:pt idx="343">
                  <c:v>1.03211099640079</c:v>
                </c:pt>
                <c:pt idx="344">
                  <c:v>1.041580221159</c:v>
                </c:pt>
                <c:pt idx="345">
                  <c:v>1.02345251816533</c:v>
                </c:pt>
                <c:pt idx="346">
                  <c:v>1.0325489748901</c:v>
                </c:pt>
                <c:pt idx="347">
                  <c:v>1.0151724448666601</c:v>
                </c:pt>
                <c:pt idx="348">
                  <c:v>1.0238441472237201</c:v>
                </c:pt>
                <c:pt idx="349">
                  <c:v>1.0072654599439701</c:v>
                </c:pt>
                <c:pt idx="350">
                  <c:v>1.01551923038527</c:v>
                </c:pt>
                <c:pt idx="351">
                  <c:v>0.99977782817240302</c:v>
                </c:pt>
                <c:pt idx="352">
                  <c:v>1.0075947259031499</c:v>
                </c:pt>
                <c:pt idx="353">
                  <c:v>0.99272555862330403</c:v>
                </c:pt>
                <c:pt idx="354">
                  <c:v>1.0000888556812999</c:v>
                </c:pt>
                <c:pt idx="355">
                  <c:v>0.98612276548298294</c:v>
                </c:pt>
                <c:pt idx="356">
                  <c:v>0.99304037134735101</c:v>
                </c:pt>
                <c:pt idx="357">
                  <c:v>0.98000127124249392</c:v>
                </c:pt>
                <c:pt idx="358">
                  <c:v>0.98643779461056502</c:v>
                </c:pt>
                <c:pt idx="359">
                  <c:v>0.97434912460242606</c:v>
                </c:pt>
                <c:pt idx="360">
                  <c:v>0.98029332928831103</c:v>
                </c:pt>
                <c:pt idx="361">
                  <c:v>0.96917544215996398</c:v>
                </c:pt>
                <c:pt idx="362">
                  <c:v>0.97461770175079099</c:v>
                </c:pt>
                <c:pt idx="363">
                  <c:v>0.96448813084168405</c:v>
                </c:pt>
                <c:pt idx="364">
                  <c:v>0.96940368576300007</c:v>
                </c:pt>
                <c:pt idx="365">
                  <c:v>0.96028073974353001</c:v>
                </c:pt>
                <c:pt idx="366">
                  <c:v>0.9646788954171529</c:v>
                </c:pt>
                <c:pt idx="367">
                  <c:v>0.95657549067288705</c:v>
                </c:pt>
                <c:pt idx="368">
                  <c:v>0.96045022709048411</c:v>
                </c:pt>
                <c:pt idx="369">
                  <c:v>0.95337715528572198</c:v>
                </c:pt>
                <c:pt idx="370">
                  <c:v>0.95673493530823106</c:v>
                </c:pt>
                <c:pt idx="371">
                  <c:v>0.95069765799475092</c:v>
                </c:pt>
                <c:pt idx="372">
                  <c:v>0.95352297648240503</c:v>
                </c:pt>
                <c:pt idx="373">
                  <c:v>0.94852876647530804</c:v>
                </c:pt>
                <c:pt idx="374">
                  <c:v>0.95081829557408004</c:v>
                </c:pt>
                <c:pt idx="375">
                  <c:v>0.946872922497078</c:v>
                </c:pt>
                <c:pt idx="376">
                  <c:v>0.94862408463926895</c:v>
                </c:pt>
                <c:pt idx="377">
                  <c:v>0.94573192869790401</c:v>
                </c:pt>
                <c:pt idx="378">
                  <c:v>0.94694275493561297</c:v>
                </c:pt>
                <c:pt idx="379">
                  <c:v>0.94510700367065803</c:v>
                </c:pt>
                <c:pt idx="380">
                  <c:v>0.94577626699239103</c:v>
                </c:pt>
                <c:pt idx="381">
                  <c:v>0.94499881878780601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E8-406B-9280-0514A8CFA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5807311"/>
        <c:axId val="1075809711"/>
      </c:scatterChart>
      <c:valAx>
        <c:axId val="1075807311"/>
        <c:scaling>
          <c:orientation val="minMax"/>
          <c:max val="3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75809711"/>
        <c:crosses val="autoZero"/>
        <c:crossBetween val="midCat"/>
        <c:majorUnit val="90"/>
        <c:minorUnit val="45"/>
      </c:valAx>
      <c:valAx>
        <c:axId val="1075809711"/>
        <c:scaling>
          <c:orientation val="minMax"/>
          <c:max val="1.3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75807311"/>
        <c:crosses val="autoZero"/>
        <c:crossBetween val="midCat"/>
        <c:maj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43553253995791"/>
          <c:y val="5.7145993114997858E-2"/>
          <c:w val="0.82824030083537048"/>
          <c:h val="0.779555048148129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Sheet2!$D$2</c:f>
              <c:strCache>
                <c:ptCount val="1"/>
                <c:pt idx="0">
                  <c:v>left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Sheet2!$C$3:$C$193</c:f>
              <c:numCache>
                <c:formatCode>General</c:formatCode>
                <c:ptCount val="191"/>
                <c:pt idx="0">
                  <c:v>6.2630000000000012E-3</c:v>
                </c:pt>
                <c:pt idx="1">
                  <c:v>1.8851630000000021</c:v>
                </c:pt>
                <c:pt idx="2">
                  <c:v>3.7891150000000429</c:v>
                </c:pt>
                <c:pt idx="3">
                  <c:v>5.6680149999999898</c:v>
                </c:pt>
                <c:pt idx="4">
                  <c:v>7.5657039999999816</c:v>
                </c:pt>
                <c:pt idx="5">
                  <c:v>9.4508670000001374</c:v>
                </c:pt>
                <c:pt idx="6">
                  <c:v>11.329767000000343</c:v>
                </c:pt>
                <c:pt idx="7">
                  <c:v>13.208667000000569</c:v>
                </c:pt>
                <c:pt idx="8">
                  <c:v>15.106356000000735</c:v>
                </c:pt>
                <c:pt idx="9">
                  <c:v>16.991519000000864</c:v>
                </c:pt>
                <c:pt idx="10">
                  <c:v>18.920523000001062</c:v>
                </c:pt>
                <c:pt idx="11">
                  <c:v>20.830738000001276</c:v>
                </c:pt>
                <c:pt idx="12">
                  <c:v>22.734690000001489</c:v>
                </c:pt>
                <c:pt idx="13">
                  <c:v>24.632379000001709</c:v>
                </c:pt>
                <c:pt idx="14">
                  <c:v>26.530068000001961</c:v>
                </c:pt>
                <c:pt idx="15">
                  <c:v>28.408968000002208</c:v>
                </c:pt>
                <c:pt idx="16">
                  <c:v>30.300394000002274</c:v>
                </c:pt>
                <c:pt idx="17">
                  <c:v>32.191820000002224</c:v>
                </c:pt>
                <c:pt idx="18">
                  <c:v>34.083246000001388</c:v>
                </c:pt>
                <c:pt idx="19">
                  <c:v>35.962146000000565</c:v>
                </c:pt>
                <c:pt idx="20">
                  <c:v>37.841045999999736</c:v>
                </c:pt>
                <c:pt idx="21">
                  <c:v>39.732471999998907</c:v>
                </c:pt>
                <c:pt idx="22">
                  <c:v>41.623897999998071</c:v>
                </c:pt>
                <c:pt idx="23">
                  <c:v>43.515323999997243</c:v>
                </c:pt>
                <c:pt idx="24">
                  <c:v>45.394223999996413</c:v>
                </c:pt>
                <c:pt idx="25">
                  <c:v>47.285649999995584</c:v>
                </c:pt>
                <c:pt idx="26">
                  <c:v>49.164549999994755</c:v>
                </c:pt>
                <c:pt idx="27">
                  <c:v>51.062238999993923</c:v>
                </c:pt>
                <c:pt idx="28">
                  <c:v>52.9411389999931</c:v>
                </c:pt>
                <c:pt idx="29">
                  <c:v>54.832564999992265</c:v>
                </c:pt>
                <c:pt idx="30">
                  <c:v>56.717727999991439</c:v>
                </c:pt>
                <c:pt idx="31">
                  <c:v>58.59662799999041</c:v>
                </c:pt>
                <c:pt idx="32">
                  <c:v>60.494316999989287</c:v>
                </c:pt>
                <c:pt idx="33">
                  <c:v>62.37321699998818</c:v>
                </c:pt>
                <c:pt idx="34">
                  <c:v>64.264642999987458</c:v>
                </c:pt>
                <c:pt idx="35">
                  <c:v>66.149805999988899</c:v>
                </c:pt>
                <c:pt idx="36">
                  <c:v>68.04123199999033</c:v>
                </c:pt>
                <c:pt idx="37">
                  <c:v>69.932657999992031</c:v>
                </c:pt>
                <c:pt idx="38">
                  <c:v>71.811557999993852</c:v>
                </c:pt>
                <c:pt idx="39">
                  <c:v>73.690457999995672</c:v>
                </c:pt>
                <c:pt idx="40">
                  <c:v>75.588146999997534</c:v>
                </c:pt>
                <c:pt idx="41">
                  <c:v>77.467046999999354</c:v>
                </c:pt>
                <c:pt idx="42">
                  <c:v>79.358473000001183</c:v>
                </c:pt>
                <c:pt idx="43">
                  <c:v>81.24989900000304</c:v>
                </c:pt>
                <c:pt idx="44">
                  <c:v>83.141325000004883</c:v>
                </c:pt>
                <c:pt idx="45">
                  <c:v>85.020225000006718</c:v>
                </c:pt>
                <c:pt idx="46">
                  <c:v>86.899125000008539</c:v>
                </c:pt>
                <c:pt idx="47">
                  <c:v>88.790551000010367</c:v>
                </c:pt>
                <c:pt idx="48">
                  <c:v>90.681977000012225</c:v>
                </c:pt>
                <c:pt idx="49">
                  <c:v>92.573403000014096</c:v>
                </c:pt>
                <c:pt idx="50">
                  <c:v>94.452303000016087</c:v>
                </c:pt>
                <c:pt idx="51">
                  <c:v>96.331203000018064</c:v>
                </c:pt>
                <c:pt idx="52">
                  <c:v>98.228892000020082</c:v>
                </c:pt>
                <c:pt idx="53">
                  <c:v>100.12031800002208</c:v>
                </c:pt>
                <c:pt idx="54">
                  <c:v>101.99921800002406</c:v>
                </c:pt>
                <c:pt idx="55">
                  <c:v>103.87811800002605</c:v>
                </c:pt>
                <c:pt idx="56">
                  <c:v>105.75701800002803</c:v>
                </c:pt>
                <c:pt idx="57">
                  <c:v>107.65470700003004</c:v>
                </c:pt>
                <c:pt idx="58">
                  <c:v>109.54613300003204</c:v>
                </c:pt>
                <c:pt idx="59">
                  <c:v>111.43755900003404</c:v>
                </c:pt>
                <c:pt idx="60">
                  <c:v>113.32898500003604</c:v>
                </c:pt>
                <c:pt idx="61">
                  <c:v>115.20788500003803</c:v>
                </c:pt>
                <c:pt idx="62">
                  <c:v>117.08678500003998</c:v>
                </c:pt>
                <c:pt idx="63">
                  <c:v>118.96568500004193</c:v>
                </c:pt>
                <c:pt idx="64">
                  <c:v>120.85084800004387</c:v>
                </c:pt>
                <c:pt idx="65">
                  <c:v>122.74853700004584</c:v>
                </c:pt>
                <c:pt idx="66">
                  <c:v>124.6399630000478</c:v>
                </c:pt>
                <c:pt idx="67">
                  <c:v>126.53138900004976</c:v>
                </c:pt>
                <c:pt idx="68">
                  <c:v>128.42281500005069</c:v>
                </c:pt>
                <c:pt idx="69">
                  <c:v>130.31424100004827</c:v>
                </c:pt>
                <c:pt idx="70">
                  <c:v>132.20566700004582</c:v>
                </c:pt>
                <c:pt idx="71">
                  <c:v>134.09083000004341</c:v>
                </c:pt>
                <c:pt idx="72">
                  <c:v>135.96973000004098</c:v>
                </c:pt>
                <c:pt idx="73">
                  <c:v>137.86115600003856</c:v>
                </c:pt>
                <c:pt idx="74">
                  <c:v>139.75258200003611</c:v>
                </c:pt>
                <c:pt idx="75">
                  <c:v>141.64400800003369</c:v>
                </c:pt>
                <c:pt idx="76">
                  <c:v>143.52917100003125</c:v>
                </c:pt>
                <c:pt idx="77">
                  <c:v>145.42059700002883</c:v>
                </c:pt>
                <c:pt idx="78">
                  <c:v>147.30576000002642</c:v>
                </c:pt>
                <c:pt idx="79">
                  <c:v>149.184660000024</c:v>
                </c:pt>
                <c:pt idx="80">
                  <c:v>151.07608600002158</c:v>
                </c:pt>
                <c:pt idx="81">
                  <c:v>152.95498600001915</c:v>
                </c:pt>
                <c:pt idx="82">
                  <c:v>154.8464120000167</c:v>
                </c:pt>
                <c:pt idx="83">
                  <c:v>156.7253120000143</c:v>
                </c:pt>
                <c:pt idx="84">
                  <c:v>158.60421200001187</c:v>
                </c:pt>
                <c:pt idx="85">
                  <c:v>160.48311200000947</c:v>
                </c:pt>
                <c:pt idx="86">
                  <c:v>162.37453800000702</c:v>
                </c:pt>
                <c:pt idx="87">
                  <c:v>164.2659640000046</c:v>
                </c:pt>
                <c:pt idx="88">
                  <c:v>166.14486400000217</c:v>
                </c:pt>
                <c:pt idx="89">
                  <c:v>168.03628999999975</c:v>
                </c:pt>
                <c:pt idx="90">
                  <c:v>169.9277159999973</c:v>
                </c:pt>
                <c:pt idx="91">
                  <c:v>171.8066159999949</c:v>
                </c:pt>
                <c:pt idx="92">
                  <c:v>173.69804199999245</c:v>
                </c:pt>
                <c:pt idx="93">
                  <c:v>175.58946799999003</c:v>
                </c:pt>
                <c:pt idx="94">
                  <c:v>177.48089399998759</c:v>
                </c:pt>
                <c:pt idx="95">
                  <c:v>179.36605699998518</c:v>
                </c:pt>
                <c:pt idx="96">
                  <c:v>181.25748299998276</c:v>
                </c:pt>
                <c:pt idx="97">
                  <c:v>183.14890899998031</c:v>
                </c:pt>
                <c:pt idx="98">
                  <c:v>185.0340719999779</c:v>
                </c:pt>
                <c:pt idx="99">
                  <c:v>186.92549799997545</c:v>
                </c:pt>
                <c:pt idx="100">
                  <c:v>188.81066099997304</c:v>
                </c:pt>
                <c:pt idx="101">
                  <c:v>190.6958239999706</c:v>
                </c:pt>
                <c:pt idx="102">
                  <c:v>192.5747239999682</c:v>
                </c:pt>
                <c:pt idx="103">
                  <c:v>194.45988699996576</c:v>
                </c:pt>
                <c:pt idx="104">
                  <c:v>196.33878699996336</c:v>
                </c:pt>
                <c:pt idx="105">
                  <c:v>198.23021299996091</c:v>
                </c:pt>
                <c:pt idx="106">
                  <c:v>200.1153759999585</c:v>
                </c:pt>
                <c:pt idx="107">
                  <c:v>202.00680199995605</c:v>
                </c:pt>
                <c:pt idx="108">
                  <c:v>203.89822799995363</c:v>
                </c:pt>
                <c:pt idx="109">
                  <c:v>205.78339099995119</c:v>
                </c:pt>
                <c:pt idx="110">
                  <c:v>207.66855399994878</c:v>
                </c:pt>
                <c:pt idx="111">
                  <c:v>209.55371699994635</c:v>
                </c:pt>
                <c:pt idx="112">
                  <c:v>211.43887999994394</c:v>
                </c:pt>
                <c:pt idx="113">
                  <c:v>213.3240429999415</c:v>
                </c:pt>
                <c:pt idx="114">
                  <c:v>215.2029429999391</c:v>
                </c:pt>
                <c:pt idx="115">
                  <c:v>217.09436899993665</c:v>
                </c:pt>
                <c:pt idx="116">
                  <c:v>218.98579499993423</c:v>
                </c:pt>
                <c:pt idx="117">
                  <c:v>220.87095799993179</c:v>
                </c:pt>
                <c:pt idx="118">
                  <c:v>222.75612099992938</c:v>
                </c:pt>
                <c:pt idx="119">
                  <c:v>224.64128399992694</c:v>
                </c:pt>
                <c:pt idx="120">
                  <c:v>226.53270999992452</c:v>
                </c:pt>
                <c:pt idx="121">
                  <c:v>228.42413599992207</c:v>
                </c:pt>
                <c:pt idx="122">
                  <c:v>230.30929899992211</c:v>
                </c:pt>
                <c:pt idx="123">
                  <c:v>232.19446199992382</c:v>
                </c:pt>
                <c:pt idx="124">
                  <c:v>234.07336199992565</c:v>
                </c:pt>
                <c:pt idx="125">
                  <c:v>235.96478799992752</c:v>
                </c:pt>
                <c:pt idx="126">
                  <c:v>237.84368799992936</c:v>
                </c:pt>
                <c:pt idx="127">
                  <c:v>239.72885099993115</c:v>
                </c:pt>
                <c:pt idx="128">
                  <c:v>241.60775099993299</c:v>
                </c:pt>
                <c:pt idx="129">
                  <c:v>243.48665099993485</c:v>
                </c:pt>
                <c:pt idx="130">
                  <c:v>245.37807699993664</c:v>
                </c:pt>
                <c:pt idx="131">
                  <c:v>247.26950299993851</c:v>
                </c:pt>
                <c:pt idx="132">
                  <c:v>249.15466599994036</c:v>
                </c:pt>
                <c:pt idx="133">
                  <c:v>251.03982899994216</c:v>
                </c:pt>
                <c:pt idx="134">
                  <c:v>252.931254999944</c:v>
                </c:pt>
                <c:pt idx="135">
                  <c:v>254.82268099994587</c:v>
                </c:pt>
                <c:pt idx="136">
                  <c:v>256.71410699994607</c:v>
                </c:pt>
                <c:pt idx="137">
                  <c:v>258.59926999994366</c:v>
                </c:pt>
                <c:pt idx="138">
                  <c:v>260.49069599994124</c:v>
                </c:pt>
                <c:pt idx="139">
                  <c:v>262.38212199993882</c:v>
                </c:pt>
                <c:pt idx="140">
                  <c:v>264.27354799993634</c:v>
                </c:pt>
                <c:pt idx="141">
                  <c:v>266.15871099993393</c:v>
                </c:pt>
                <c:pt idx="142">
                  <c:v>268.04387399993152</c:v>
                </c:pt>
                <c:pt idx="143">
                  <c:v>269.92903699992911</c:v>
                </c:pt>
                <c:pt idx="144">
                  <c:v>271.81419999992664</c:v>
                </c:pt>
                <c:pt idx="145">
                  <c:v>273.70562599992422</c:v>
                </c:pt>
                <c:pt idx="146">
                  <c:v>275.59078899992181</c:v>
                </c:pt>
                <c:pt idx="147">
                  <c:v>277.4759519999194</c:v>
                </c:pt>
                <c:pt idx="148">
                  <c:v>279.36111499991694</c:v>
                </c:pt>
                <c:pt idx="149">
                  <c:v>281.24627799991453</c:v>
                </c:pt>
                <c:pt idx="150">
                  <c:v>283.13770399991211</c:v>
                </c:pt>
                <c:pt idx="151">
                  <c:v>285.01660399990971</c:v>
                </c:pt>
                <c:pt idx="152">
                  <c:v>286.90802999990723</c:v>
                </c:pt>
                <c:pt idx="153">
                  <c:v>288.79319299990482</c:v>
                </c:pt>
                <c:pt idx="154">
                  <c:v>290.67835599990241</c:v>
                </c:pt>
                <c:pt idx="155">
                  <c:v>292.55725599990001</c:v>
                </c:pt>
                <c:pt idx="156">
                  <c:v>294.44868199989753</c:v>
                </c:pt>
                <c:pt idx="157">
                  <c:v>296.33384499989512</c:v>
                </c:pt>
                <c:pt idx="158">
                  <c:v>298.21900799989271</c:v>
                </c:pt>
                <c:pt idx="159">
                  <c:v>300.1041709998903</c:v>
                </c:pt>
                <c:pt idx="160">
                  <c:v>301.99559699988788</c:v>
                </c:pt>
                <c:pt idx="161">
                  <c:v>303.8870229998854</c:v>
                </c:pt>
                <c:pt idx="162">
                  <c:v>305.77844899988298</c:v>
                </c:pt>
                <c:pt idx="163">
                  <c:v>307.66987499988056</c:v>
                </c:pt>
                <c:pt idx="164">
                  <c:v>309.55503799987815</c:v>
                </c:pt>
                <c:pt idx="165">
                  <c:v>311.44020099987569</c:v>
                </c:pt>
                <c:pt idx="166">
                  <c:v>313.32536399987328</c:v>
                </c:pt>
                <c:pt idx="167">
                  <c:v>315.21052699987086</c:v>
                </c:pt>
                <c:pt idx="168">
                  <c:v>317.10195299986844</c:v>
                </c:pt>
                <c:pt idx="169">
                  <c:v>318.98711599986598</c:v>
                </c:pt>
                <c:pt idx="170">
                  <c:v>320.87227899986357</c:v>
                </c:pt>
                <c:pt idx="171">
                  <c:v>322.75744199986116</c:v>
                </c:pt>
                <c:pt idx="172">
                  <c:v>324.64260499985875</c:v>
                </c:pt>
                <c:pt idx="173">
                  <c:v>326.52776799985628</c:v>
                </c:pt>
                <c:pt idx="174">
                  <c:v>328.41919399985386</c:v>
                </c:pt>
                <c:pt idx="175">
                  <c:v>330.31061999985144</c:v>
                </c:pt>
                <c:pt idx="176">
                  <c:v>332.20204599984902</c:v>
                </c:pt>
                <c:pt idx="177">
                  <c:v>334.09347199984654</c:v>
                </c:pt>
                <c:pt idx="178">
                  <c:v>335.97863499984413</c:v>
                </c:pt>
                <c:pt idx="179">
                  <c:v>337.86379799984172</c:v>
                </c:pt>
                <c:pt idx="180">
                  <c:v>339.74896099983931</c:v>
                </c:pt>
                <c:pt idx="181">
                  <c:v>341.63412399983685</c:v>
                </c:pt>
                <c:pt idx="182">
                  <c:v>343.52554999983442</c:v>
                </c:pt>
                <c:pt idx="183">
                  <c:v>345.416975999832</c:v>
                </c:pt>
                <c:pt idx="184">
                  <c:v>347.30840199982958</c:v>
                </c:pt>
                <c:pt idx="185">
                  <c:v>349.19356499982717</c:v>
                </c:pt>
                <c:pt idx="186">
                  <c:v>351.07872799982471</c:v>
                </c:pt>
                <c:pt idx="187">
                  <c:v>352.9638909998223</c:v>
                </c:pt>
                <c:pt idx="188">
                  <c:v>354.84905399981989</c:v>
                </c:pt>
                <c:pt idx="189">
                  <c:v>356.73421699981748</c:v>
                </c:pt>
                <c:pt idx="190">
                  <c:v>358.61937999981501</c:v>
                </c:pt>
              </c:numCache>
            </c:numRef>
          </c:xVal>
          <c:yVal>
            <c:numRef>
              <c:f>Sheet2!$D$3:$D$193</c:f>
              <c:numCache>
                <c:formatCode>General</c:formatCode>
                <c:ptCount val="191"/>
                <c:pt idx="0">
                  <c:v>0.94524748808722836</c:v>
                </c:pt>
                <c:pt idx="1">
                  <c:v>0.94497717797524683</c:v>
                </c:pt>
                <c:pt idx="2">
                  <c:v>0.94522700403451154</c:v>
                </c:pt>
                <c:pt idx="3">
                  <c:v>0.94599014629422085</c:v>
                </c:pt>
                <c:pt idx="4">
                  <c:v>0.94728102231726363</c:v>
                </c:pt>
                <c:pt idx="5">
                  <c:v>0.94907952268458451</c:v>
                </c:pt>
                <c:pt idx="6">
                  <c:v>0.95138190500238962</c:v>
                </c:pt>
                <c:pt idx="7">
                  <c:v>0.95419071174256986</c:v>
                </c:pt>
                <c:pt idx="8">
                  <c:v>0.95753826480066218</c:v>
                </c:pt>
                <c:pt idx="9">
                  <c:v>0.96136774406961867</c:v>
                </c:pt>
                <c:pt idx="10">
                  <c:v>0.965801046094242</c:v>
                </c:pt>
                <c:pt idx="11">
                  <c:v>0.9706980578090324</c:v>
                </c:pt>
                <c:pt idx="12">
                  <c:v>0.97607360464304638</c:v>
                </c:pt>
                <c:pt idx="13">
                  <c:v>0.98191438885026883</c:v>
                </c:pt>
                <c:pt idx="14">
                  <c:v>0.98822744019359365</c:v>
                </c:pt>
                <c:pt idx="15">
                  <c:v>0.99493217729819905</c:v>
                </c:pt>
                <c:pt idx="16">
                  <c:v>1.002125237242445</c:v>
                </c:pt>
                <c:pt idx="17">
                  <c:v>1.0097488081775137</c:v>
                </c:pt>
                <c:pt idx="18">
                  <c:v>1.0177861585964383</c:v>
                </c:pt>
                <c:pt idx="19">
                  <c:v>1.026161365998578</c:v>
                </c:pt>
                <c:pt idx="20">
                  <c:v>1.0349056421320226</c:v>
                </c:pt>
                <c:pt idx="21">
                  <c:v>1.0440574174758814</c:v>
                </c:pt>
                <c:pt idx="22">
                  <c:v>1.053533310283693</c:v>
                </c:pt>
                <c:pt idx="23">
                  <c:v>1.0633041698582482</c:v>
                </c:pt>
                <c:pt idx="24">
                  <c:v>1.0732706667512135</c:v>
                </c:pt>
                <c:pt idx="25">
                  <c:v>1.0835306388050361</c:v>
                </c:pt>
                <c:pt idx="26">
                  <c:v>1.0939103911584005</c:v>
                </c:pt>
                <c:pt idx="27">
                  <c:v>1.1045422693134264</c:v>
                </c:pt>
                <c:pt idx="28">
                  <c:v>1.1151714549454224</c:v>
                </c:pt>
                <c:pt idx="29">
                  <c:v>1.1259268693129534</c:v>
                </c:pt>
                <c:pt idx="30">
                  <c:v>1.1366512583309394</c:v>
                </c:pt>
                <c:pt idx="31">
                  <c:v>1.1472914283988118</c:v>
                </c:pt>
                <c:pt idx="32">
                  <c:v>1.1579321800721702</c:v>
                </c:pt>
                <c:pt idx="33">
                  <c:v>1.1683044360371351</c:v>
                </c:pt>
                <c:pt idx="34">
                  <c:v>1.178521139330172</c:v>
                </c:pt>
                <c:pt idx="35">
                  <c:v>1.1884176989133128</c:v>
                </c:pt>
                <c:pt idx="36">
                  <c:v>1.1979965625786748</c:v>
                </c:pt>
                <c:pt idx="37">
                  <c:v>1.2071604790544199</c:v>
                </c:pt>
                <c:pt idx="38">
                  <c:v>1.2157901623053544</c:v>
                </c:pt>
                <c:pt idx="39">
                  <c:v>1.2238865627023883</c:v>
                </c:pt>
                <c:pt idx="40">
                  <c:v>1.2314622091645548</c:v>
                </c:pt>
                <c:pt idx="41">
                  <c:v>1.2383099772100015</c:v>
                </c:pt>
                <c:pt idx="42">
                  <c:v>1.2444932246524902</c:v>
                </c:pt>
                <c:pt idx="43">
                  <c:v>1.2499142604322424</c:v>
                </c:pt>
                <c:pt idx="44">
                  <c:v>1.2545283546454542</c:v>
                </c:pt>
                <c:pt idx="45">
                  <c:v>1.2582747694938272</c:v>
                </c:pt>
                <c:pt idx="46">
                  <c:v>1.261155216215158</c:v>
                </c:pt>
                <c:pt idx="47">
                  <c:v>1.2631554300597139</c:v>
                </c:pt>
                <c:pt idx="48">
                  <c:v>1.2642359354484431</c:v>
                </c:pt>
                <c:pt idx="49">
                  <c:v>1.2643872275256676</c:v>
                </c:pt>
                <c:pt idx="50">
                  <c:v>1.2636162208450881</c:v>
                </c:pt>
                <c:pt idx="51">
                  <c:v>1.2619335770555322</c:v>
                </c:pt>
                <c:pt idx="52">
                  <c:v>1.2593236169459963</c:v>
                </c:pt>
                <c:pt idx="53">
                  <c:v>1.2558342040822303</c:v>
                </c:pt>
                <c:pt idx="54">
                  <c:v>1.2515196103627055</c:v>
                </c:pt>
                <c:pt idx="55">
                  <c:v>1.2463955748916979</c:v>
                </c:pt>
                <c:pt idx="56">
                  <c:v>1.2405039766061723</c:v>
                </c:pt>
                <c:pt idx="57">
                  <c:v>1.2338224644136213</c:v>
                </c:pt>
                <c:pt idx="58">
                  <c:v>1.2264849153517858</c:v>
                </c:pt>
                <c:pt idx="59">
                  <c:v>1.2185271301804694</c:v>
                </c:pt>
                <c:pt idx="60">
                  <c:v>1.2100088261134991</c:v>
                </c:pt>
                <c:pt idx="61">
                  <c:v>1.2010530974093065</c:v>
                </c:pt>
                <c:pt idx="62">
                  <c:v>1.1916672616896702</c:v>
                </c:pt>
                <c:pt idx="63">
                  <c:v>1.1819138823982678</c:v>
                </c:pt>
                <c:pt idx="64">
                  <c:v>1.1718214049836071</c:v>
                </c:pt>
                <c:pt idx="65">
                  <c:v>1.1614146763400255</c:v>
                </c:pt>
                <c:pt idx="66">
                  <c:v>1.1508572167177826</c:v>
                </c:pt>
                <c:pt idx="67">
                  <c:v>1.1401747718002082</c:v>
                </c:pt>
                <c:pt idx="68">
                  <c:v>1.1294248014962709</c:v>
                </c:pt>
                <c:pt idx="69">
                  <c:v>1.1186621785703128</c:v>
                </c:pt>
                <c:pt idx="70">
                  <c:v>1.1079389132760105</c:v>
                </c:pt>
                <c:pt idx="71">
                  <c:v>1.0973390545964719</c:v>
                </c:pt>
                <c:pt idx="72">
                  <c:v>1.0869068064301306</c:v>
                </c:pt>
                <c:pt idx="73">
                  <c:v>1.0765809296653306</c:v>
                </c:pt>
                <c:pt idx="74">
                  <c:v>1.0664707667027784</c:v>
                </c:pt>
                <c:pt idx="75">
                  <c:v>1.0566126139608285</c:v>
                </c:pt>
                <c:pt idx="76">
                  <c:v>1.0470707105045247</c:v>
                </c:pt>
                <c:pt idx="77">
                  <c:v>1.0378116843268232</c:v>
                </c:pt>
                <c:pt idx="78">
                  <c:v>1.0289239076536425</c:v>
                </c:pt>
                <c:pt idx="79">
                  <c:v>1.0204280700516775</c:v>
                </c:pt>
                <c:pt idx="80">
                  <c:v>1.0122628503488318</c:v>
                </c:pt>
                <c:pt idx="81">
                  <c:v>1.0045556789226497</c:v>
                </c:pt>
                <c:pt idx="82">
                  <c:v>0.99722103367628179</c:v>
                </c:pt>
                <c:pt idx="83">
                  <c:v>0.99037116083575494</c:v>
                </c:pt>
                <c:pt idx="84">
                  <c:v>0.98396921370172974</c:v>
                </c:pt>
                <c:pt idx="85">
                  <c:v>0.97802673551324559</c:v>
                </c:pt>
                <c:pt idx="86">
                  <c:v>0.97251884886691664</c:v>
                </c:pt>
                <c:pt idx="87">
                  <c:v>0.96749545864248498</c:v>
                </c:pt>
                <c:pt idx="88">
                  <c:v>0.96299249707579848</c:v>
                </c:pt>
                <c:pt idx="89">
                  <c:v>0.95895633034231653</c:v>
                </c:pt>
                <c:pt idx="90">
                  <c:v>0.95542399398227762</c:v>
                </c:pt>
                <c:pt idx="91">
                  <c:v>0.95241834628810118</c:v>
                </c:pt>
                <c:pt idx="92">
                  <c:v>0.94990291940017213</c:v>
                </c:pt>
                <c:pt idx="93">
                  <c:v>0.94790242927202362</c:v>
                </c:pt>
                <c:pt idx="94">
                  <c:v>0.94641910893542203</c:v>
                </c:pt>
                <c:pt idx="95">
                  <c:v>0.9454568486467293</c:v>
                </c:pt>
                <c:pt idx="96">
                  <c:v>0.94501035565256397</c:v>
                </c:pt>
                <c:pt idx="97">
                  <c:v>0.94508415535951462</c:v>
                </c:pt>
                <c:pt idx="98">
                  <c:v>0.94567534358199534</c:v>
                </c:pt>
                <c:pt idx="99">
                  <c:v>0.94678719601991645</c:v>
                </c:pt>
                <c:pt idx="100">
                  <c:v>0.9484111856284636</c:v>
                </c:pt>
                <c:pt idx="101">
                  <c:v>0.95054831990802091</c:v>
                </c:pt>
                <c:pt idx="102">
                  <c:v>0.95318658647355503</c:v>
                </c:pt>
                <c:pt idx="103">
                  <c:v>0.95634048217580847</c:v>
                </c:pt>
                <c:pt idx="104">
                  <c:v>0.95998523005781933</c:v>
                </c:pt>
                <c:pt idx="105">
                  <c:v>0.96415507139458778</c:v>
                </c:pt>
                <c:pt idx="106">
                  <c:v>0.96880552458859337</c:v>
                </c:pt>
                <c:pt idx="107">
                  <c:v>0.97396073370706004</c:v>
                </c:pt>
                <c:pt idx="108">
                  <c:v>0.97959821190703655</c:v>
                </c:pt>
                <c:pt idx="109">
                  <c:v>0.98568778875817098</c:v>
                </c:pt>
                <c:pt idx="110">
                  <c:v>0.99223688345361583</c:v>
                </c:pt>
                <c:pt idx="111">
                  <c:v>0.99923334985322321</c:v>
                </c:pt>
                <c:pt idx="112">
                  <c:v>1.0066634817334237</c:v>
                </c:pt>
                <c:pt idx="113">
                  <c:v>1.0145114584425881</c:v>
                </c:pt>
                <c:pt idx="114">
                  <c:v>1.0227315783719149</c:v>
                </c:pt>
                <c:pt idx="115">
                  <c:v>1.0313879172052978</c:v>
                </c:pt>
                <c:pt idx="116">
                  <c:v>1.040404325204727</c:v>
                </c:pt>
                <c:pt idx="117">
                  <c:v>1.0497241013909442</c:v>
                </c:pt>
                <c:pt idx="118">
                  <c:v>1.059348807446628</c:v>
                </c:pt>
                <c:pt idx="119">
                  <c:v>1.0692477609299975</c:v>
                </c:pt>
                <c:pt idx="120">
                  <c:v>1.079421418796692</c:v>
                </c:pt>
                <c:pt idx="121">
                  <c:v>1.0898002625607297</c:v>
                </c:pt>
                <c:pt idx="122">
                  <c:v>1.1003088566547279</c:v>
                </c:pt>
                <c:pt idx="123">
                  <c:v>1.1109381425730001</c:v>
                </c:pt>
                <c:pt idx="124">
                  <c:v>1.1216062363839643</c:v>
                </c:pt>
                <c:pt idx="125">
                  <c:v>1.1323707123289186</c:v>
                </c:pt>
                <c:pt idx="126">
                  <c:v>1.1430368686034562</c:v>
                </c:pt>
                <c:pt idx="127">
                  <c:v>1.1536565999567578</c:v>
                </c:pt>
                <c:pt idx="128">
                  <c:v>1.1641021747739899</c:v>
                </c:pt>
                <c:pt idx="129">
                  <c:v>1.174350001631697</c:v>
                </c:pt>
                <c:pt idx="130">
                  <c:v>1.1844049322535108</c:v>
                </c:pt>
                <c:pt idx="131">
                  <c:v>1.1941347393724349</c:v>
                </c:pt>
                <c:pt idx="132">
                  <c:v>1.2034454274951218</c:v>
                </c:pt>
                <c:pt idx="133">
                  <c:v>1.2123067342266802</c:v>
                </c:pt>
                <c:pt idx="134">
                  <c:v>1.2206831167104477</c:v>
                </c:pt>
                <c:pt idx="135">
                  <c:v>1.228482981145931</c:v>
                </c:pt>
                <c:pt idx="136">
                  <c:v>1.2356473615829353</c:v>
                </c:pt>
                <c:pt idx="137">
                  <c:v>1.2421001979071895</c:v>
                </c:pt>
                <c:pt idx="138">
                  <c:v>1.2478328660000402</c:v>
                </c:pt>
                <c:pt idx="139">
                  <c:v>1.2527758497459147</c:v>
                </c:pt>
                <c:pt idx="140">
                  <c:v>1.256888003072671</c:v>
                </c:pt>
                <c:pt idx="141">
                  <c:v>1.260125232312981</c:v>
                </c:pt>
                <c:pt idx="142">
                  <c:v>1.26247490351923</c:v>
                </c:pt>
                <c:pt idx="143">
                  <c:v>1.2639167919590812</c:v>
                </c:pt>
                <c:pt idx="144">
                  <c:v>1.2644384093069145</c:v>
                </c:pt>
                <c:pt idx="145">
                  <c:v>1.2640323049103015</c:v>
                </c:pt>
                <c:pt idx="146">
                  <c:v>1.2627047319153137</c:v>
                </c:pt>
                <c:pt idx="147">
                  <c:v>1.2604674089293375</c:v>
                </c:pt>
                <c:pt idx="148">
                  <c:v>1.2573395412246675</c:v>
                </c:pt>
                <c:pt idx="149">
                  <c:v>1.2533479540529884</c:v>
                </c:pt>
                <c:pt idx="150">
                  <c:v>1.2485088974793364</c:v>
                </c:pt>
                <c:pt idx="151">
                  <c:v>1.2429143864668886</c:v>
                </c:pt>
                <c:pt idx="152">
                  <c:v>1.2365357975434998</c:v>
                </c:pt>
                <c:pt idx="153">
                  <c:v>1.2294833970166918</c:v>
                </c:pt>
                <c:pt idx="154">
                  <c:v>1.2217920601038961</c:v>
                </c:pt>
                <c:pt idx="155">
                  <c:v>1.2135481897458136</c:v>
                </c:pt>
                <c:pt idx="156">
                  <c:v>1.2047270992171686</c:v>
                </c:pt>
                <c:pt idx="157">
                  <c:v>1.1954761443460078</c:v>
                </c:pt>
                <c:pt idx="158">
                  <c:v>1.1858298864638823</c:v>
                </c:pt>
                <c:pt idx="159">
                  <c:v>1.1758515746706653</c:v>
                </c:pt>
                <c:pt idx="160">
                  <c:v>1.1655694007520438</c:v>
                </c:pt>
                <c:pt idx="161">
                  <c:v>1.1550782045168433</c:v>
                </c:pt>
                <c:pt idx="162">
                  <c:v>1.1444385068961112</c:v>
                </c:pt>
                <c:pt idx="163">
                  <c:v>1.1337086850746356</c:v>
                </c:pt>
                <c:pt idx="164">
                  <c:v>1.1229803273778511</c:v>
                </c:pt>
                <c:pt idx="165">
                  <c:v>1.1122706945492267</c:v>
                </c:pt>
                <c:pt idx="166">
                  <c:v>1.1016295245732888</c:v>
                </c:pt>
                <c:pt idx="167">
                  <c:v>1.0911034602738863</c:v>
                </c:pt>
                <c:pt idx="168">
                  <c:v>1.0807018440713561</c:v>
                </c:pt>
                <c:pt idx="169">
                  <c:v>1.0705339972843317</c:v>
                </c:pt>
                <c:pt idx="170">
                  <c:v>1.060602257229178</c:v>
                </c:pt>
                <c:pt idx="171">
                  <c:v>1.0509406687447433</c:v>
                </c:pt>
                <c:pt idx="172">
                  <c:v>1.0415802211590075</c:v>
                </c:pt>
                <c:pt idx="173">
                  <c:v>1.0325489748901053</c:v>
                </c:pt>
                <c:pt idx="174">
                  <c:v>1.0238441472237294</c:v>
                </c:pt>
                <c:pt idx="175">
                  <c:v>1.0155192303852727</c:v>
                </c:pt>
                <c:pt idx="176">
                  <c:v>1.0075947259031555</c:v>
                </c:pt>
                <c:pt idx="177">
                  <c:v>1.0000888556813041</c:v>
                </c:pt>
                <c:pt idx="178">
                  <c:v>0.99304037134735101</c:v>
                </c:pt>
                <c:pt idx="179">
                  <c:v>0.9864377946105658</c:v>
                </c:pt>
                <c:pt idx="180">
                  <c:v>0.98029332928831114</c:v>
                </c:pt>
                <c:pt idx="181">
                  <c:v>0.97461770175079132</c:v>
                </c:pt>
                <c:pt idx="182">
                  <c:v>0.96940368576300007</c:v>
                </c:pt>
                <c:pt idx="183">
                  <c:v>0.96467889541715346</c:v>
                </c:pt>
                <c:pt idx="184">
                  <c:v>0.96045022709048478</c:v>
                </c:pt>
                <c:pt idx="185">
                  <c:v>0.95673493530823173</c:v>
                </c:pt>
                <c:pt idx="186">
                  <c:v>0.95352297648240547</c:v>
                </c:pt>
                <c:pt idx="187">
                  <c:v>0.95081829557408082</c:v>
                </c:pt>
                <c:pt idx="188">
                  <c:v>0.9486240846392695</c:v>
                </c:pt>
                <c:pt idx="189">
                  <c:v>0.94694275493561375</c:v>
                </c:pt>
                <c:pt idx="190">
                  <c:v>0.94577626699239159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FF-4910-948D-4A43C09ECED7}"/>
            </c:ext>
          </c:extLst>
        </c:ser>
        <c:ser>
          <c:idx val="1"/>
          <c:order val="1"/>
          <c:tx>
            <c:strRef>
              <c:f>Sheet2!$F$2</c:f>
              <c:strCache>
                <c:ptCount val="1"/>
                <c:pt idx="0">
                  <c:v>right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Sheet2!$E$3:$E$193</c:f>
              <c:numCache>
                <c:formatCode>General</c:formatCode>
                <c:ptCount val="191"/>
                <c:pt idx="0">
                  <c:v>6.2630000000000012E-3</c:v>
                </c:pt>
                <c:pt idx="1">
                  <c:v>1.8851630000000021</c:v>
                </c:pt>
                <c:pt idx="2">
                  <c:v>3.7891150000000429</c:v>
                </c:pt>
                <c:pt idx="3">
                  <c:v>5.6680149999999898</c:v>
                </c:pt>
                <c:pt idx="4">
                  <c:v>7.5657039999999816</c:v>
                </c:pt>
                <c:pt idx="5">
                  <c:v>9.4508670000001374</c:v>
                </c:pt>
                <c:pt idx="6">
                  <c:v>11.329767000000343</c:v>
                </c:pt>
                <c:pt idx="7">
                  <c:v>13.208667000000569</c:v>
                </c:pt>
                <c:pt idx="8">
                  <c:v>15.106356000000735</c:v>
                </c:pt>
                <c:pt idx="9">
                  <c:v>16.991519000000864</c:v>
                </c:pt>
                <c:pt idx="10">
                  <c:v>18.920523000001062</c:v>
                </c:pt>
                <c:pt idx="11">
                  <c:v>20.830738000001276</c:v>
                </c:pt>
                <c:pt idx="12">
                  <c:v>22.734690000001489</c:v>
                </c:pt>
                <c:pt idx="13">
                  <c:v>24.632379000001709</c:v>
                </c:pt>
                <c:pt idx="14">
                  <c:v>26.530068000001961</c:v>
                </c:pt>
                <c:pt idx="15">
                  <c:v>28.408968000002208</c:v>
                </c:pt>
                <c:pt idx="16">
                  <c:v>30.300394000002274</c:v>
                </c:pt>
                <c:pt idx="17">
                  <c:v>32.191820000002224</c:v>
                </c:pt>
                <c:pt idx="18">
                  <c:v>34.083246000001388</c:v>
                </c:pt>
                <c:pt idx="19">
                  <c:v>35.962146000000565</c:v>
                </c:pt>
                <c:pt idx="20">
                  <c:v>37.841045999999736</c:v>
                </c:pt>
                <c:pt idx="21">
                  <c:v>39.732471999998907</c:v>
                </c:pt>
                <c:pt idx="22">
                  <c:v>41.623897999998071</c:v>
                </c:pt>
                <c:pt idx="23">
                  <c:v>43.515323999997243</c:v>
                </c:pt>
                <c:pt idx="24">
                  <c:v>45.394223999996413</c:v>
                </c:pt>
                <c:pt idx="25">
                  <c:v>47.285649999995584</c:v>
                </c:pt>
                <c:pt idx="26">
                  <c:v>49.164549999994755</c:v>
                </c:pt>
                <c:pt idx="27">
                  <c:v>51.062238999993923</c:v>
                </c:pt>
                <c:pt idx="28">
                  <c:v>52.9411389999931</c:v>
                </c:pt>
                <c:pt idx="29">
                  <c:v>54.832564999992265</c:v>
                </c:pt>
                <c:pt idx="30">
                  <c:v>56.717727999991439</c:v>
                </c:pt>
                <c:pt idx="31">
                  <c:v>58.59662799999041</c:v>
                </c:pt>
                <c:pt idx="32">
                  <c:v>60.494316999989287</c:v>
                </c:pt>
                <c:pt idx="33">
                  <c:v>62.37321699998818</c:v>
                </c:pt>
                <c:pt idx="34">
                  <c:v>64.264642999987458</c:v>
                </c:pt>
                <c:pt idx="35">
                  <c:v>66.149805999988899</c:v>
                </c:pt>
                <c:pt idx="36">
                  <c:v>68.04123199999033</c:v>
                </c:pt>
                <c:pt idx="37">
                  <c:v>69.932657999992031</c:v>
                </c:pt>
                <c:pt idx="38">
                  <c:v>71.811557999993852</c:v>
                </c:pt>
                <c:pt idx="39">
                  <c:v>73.690457999995672</c:v>
                </c:pt>
                <c:pt idx="40">
                  <c:v>75.588146999997534</c:v>
                </c:pt>
                <c:pt idx="41">
                  <c:v>77.467046999999354</c:v>
                </c:pt>
                <c:pt idx="42">
                  <c:v>79.358473000001183</c:v>
                </c:pt>
                <c:pt idx="43">
                  <c:v>81.24989900000304</c:v>
                </c:pt>
                <c:pt idx="44">
                  <c:v>83.141325000004883</c:v>
                </c:pt>
                <c:pt idx="45">
                  <c:v>85.020225000006718</c:v>
                </c:pt>
                <c:pt idx="46">
                  <c:v>86.899125000008539</c:v>
                </c:pt>
                <c:pt idx="47">
                  <c:v>88.790551000010367</c:v>
                </c:pt>
                <c:pt idx="48">
                  <c:v>90.681977000012225</c:v>
                </c:pt>
                <c:pt idx="49">
                  <c:v>92.573403000014096</c:v>
                </c:pt>
                <c:pt idx="50">
                  <c:v>94.452303000016087</c:v>
                </c:pt>
                <c:pt idx="51">
                  <c:v>96.331203000018064</c:v>
                </c:pt>
                <c:pt idx="52">
                  <c:v>98.228892000020082</c:v>
                </c:pt>
                <c:pt idx="53">
                  <c:v>100.12031800002208</c:v>
                </c:pt>
                <c:pt idx="54">
                  <c:v>101.99921800002406</c:v>
                </c:pt>
                <c:pt idx="55">
                  <c:v>103.87811800002605</c:v>
                </c:pt>
                <c:pt idx="56">
                  <c:v>105.75701800002803</c:v>
                </c:pt>
                <c:pt idx="57">
                  <c:v>107.65470700003004</c:v>
                </c:pt>
                <c:pt idx="58">
                  <c:v>109.54613300003204</c:v>
                </c:pt>
                <c:pt idx="59">
                  <c:v>111.43755900003404</c:v>
                </c:pt>
                <c:pt idx="60">
                  <c:v>113.32898500003604</c:v>
                </c:pt>
                <c:pt idx="61">
                  <c:v>115.20788500003803</c:v>
                </c:pt>
                <c:pt idx="62">
                  <c:v>117.08678500003998</c:v>
                </c:pt>
                <c:pt idx="63">
                  <c:v>118.96568500004193</c:v>
                </c:pt>
                <c:pt idx="64">
                  <c:v>120.85084800004387</c:v>
                </c:pt>
                <c:pt idx="65">
                  <c:v>122.74853700004584</c:v>
                </c:pt>
                <c:pt idx="66">
                  <c:v>124.6399630000478</c:v>
                </c:pt>
                <c:pt idx="67">
                  <c:v>126.53138900004976</c:v>
                </c:pt>
                <c:pt idx="68">
                  <c:v>128.42281500005069</c:v>
                </c:pt>
                <c:pt idx="69">
                  <c:v>130.31424100004827</c:v>
                </c:pt>
                <c:pt idx="70">
                  <c:v>132.20566700004582</c:v>
                </c:pt>
                <c:pt idx="71">
                  <c:v>134.09083000004341</c:v>
                </c:pt>
                <c:pt idx="72">
                  <c:v>135.96973000004098</c:v>
                </c:pt>
                <c:pt idx="73">
                  <c:v>137.86115600003856</c:v>
                </c:pt>
                <c:pt idx="74">
                  <c:v>139.75258200003611</c:v>
                </c:pt>
                <c:pt idx="75">
                  <c:v>141.64400800003369</c:v>
                </c:pt>
                <c:pt idx="76">
                  <c:v>143.52917100003125</c:v>
                </c:pt>
                <c:pt idx="77">
                  <c:v>145.42059700002883</c:v>
                </c:pt>
                <c:pt idx="78">
                  <c:v>147.30576000002642</c:v>
                </c:pt>
                <c:pt idx="79">
                  <c:v>149.184660000024</c:v>
                </c:pt>
                <c:pt idx="80">
                  <c:v>151.07608600002158</c:v>
                </c:pt>
                <c:pt idx="81">
                  <c:v>152.95498600001915</c:v>
                </c:pt>
                <c:pt idx="82">
                  <c:v>154.8464120000167</c:v>
                </c:pt>
                <c:pt idx="83">
                  <c:v>156.7253120000143</c:v>
                </c:pt>
                <c:pt idx="84">
                  <c:v>158.60421200001187</c:v>
                </c:pt>
                <c:pt idx="85">
                  <c:v>160.48311200000947</c:v>
                </c:pt>
                <c:pt idx="86">
                  <c:v>162.37453800000702</c:v>
                </c:pt>
                <c:pt idx="87">
                  <c:v>164.2659640000046</c:v>
                </c:pt>
                <c:pt idx="88">
                  <c:v>166.14486400000217</c:v>
                </c:pt>
                <c:pt idx="89">
                  <c:v>168.03628999999975</c:v>
                </c:pt>
                <c:pt idx="90">
                  <c:v>169.9277159999973</c:v>
                </c:pt>
                <c:pt idx="91">
                  <c:v>171.8066159999949</c:v>
                </c:pt>
                <c:pt idx="92">
                  <c:v>173.69804199999245</c:v>
                </c:pt>
                <c:pt idx="93">
                  <c:v>175.58946799999003</c:v>
                </c:pt>
                <c:pt idx="94">
                  <c:v>177.48089399998759</c:v>
                </c:pt>
                <c:pt idx="95">
                  <c:v>179.36605699998518</c:v>
                </c:pt>
                <c:pt idx="96">
                  <c:v>181.25748299998276</c:v>
                </c:pt>
                <c:pt idx="97">
                  <c:v>183.14890899998031</c:v>
                </c:pt>
                <c:pt idx="98">
                  <c:v>185.0340719999779</c:v>
                </c:pt>
                <c:pt idx="99">
                  <c:v>186.92549799997545</c:v>
                </c:pt>
                <c:pt idx="100">
                  <c:v>188.81066099997304</c:v>
                </c:pt>
                <c:pt idx="101">
                  <c:v>190.6958239999706</c:v>
                </c:pt>
                <c:pt idx="102">
                  <c:v>192.5747239999682</c:v>
                </c:pt>
                <c:pt idx="103">
                  <c:v>194.45988699996576</c:v>
                </c:pt>
                <c:pt idx="104">
                  <c:v>196.33878699996336</c:v>
                </c:pt>
                <c:pt idx="105">
                  <c:v>198.23021299996091</c:v>
                </c:pt>
                <c:pt idx="106">
                  <c:v>200.1153759999585</c:v>
                </c:pt>
                <c:pt idx="107">
                  <c:v>202.00680199995605</c:v>
                </c:pt>
                <c:pt idx="108">
                  <c:v>203.89822799995363</c:v>
                </c:pt>
                <c:pt idx="109">
                  <c:v>205.78339099995119</c:v>
                </c:pt>
                <c:pt idx="110">
                  <c:v>207.66855399994878</c:v>
                </c:pt>
                <c:pt idx="111">
                  <c:v>209.55371699994635</c:v>
                </c:pt>
                <c:pt idx="112">
                  <c:v>211.43887999994394</c:v>
                </c:pt>
                <c:pt idx="113">
                  <c:v>213.3240429999415</c:v>
                </c:pt>
                <c:pt idx="114">
                  <c:v>215.2029429999391</c:v>
                </c:pt>
                <c:pt idx="115">
                  <c:v>217.09436899993665</c:v>
                </c:pt>
                <c:pt idx="116">
                  <c:v>218.98579499993423</c:v>
                </c:pt>
                <c:pt idx="117">
                  <c:v>220.87095799993179</c:v>
                </c:pt>
                <c:pt idx="118">
                  <c:v>222.75612099992938</c:v>
                </c:pt>
                <c:pt idx="119">
                  <c:v>224.64128399992694</c:v>
                </c:pt>
                <c:pt idx="120">
                  <c:v>226.53270999992452</c:v>
                </c:pt>
                <c:pt idx="121">
                  <c:v>228.42413599992207</c:v>
                </c:pt>
                <c:pt idx="122">
                  <c:v>230.30929899992211</c:v>
                </c:pt>
                <c:pt idx="123">
                  <c:v>232.19446199992382</c:v>
                </c:pt>
                <c:pt idx="124">
                  <c:v>234.07336199992565</c:v>
                </c:pt>
                <c:pt idx="125">
                  <c:v>235.96478799992752</c:v>
                </c:pt>
                <c:pt idx="126">
                  <c:v>237.84368799992936</c:v>
                </c:pt>
                <c:pt idx="127">
                  <c:v>239.72885099993115</c:v>
                </c:pt>
                <c:pt idx="128">
                  <c:v>241.60775099993299</c:v>
                </c:pt>
                <c:pt idx="129">
                  <c:v>243.48665099993485</c:v>
                </c:pt>
                <c:pt idx="130">
                  <c:v>245.37807699993664</c:v>
                </c:pt>
                <c:pt idx="131">
                  <c:v>247.26950299993851</c:v>
                </c:pt>
                <c:pt idx="132">
                  <c:v>249.15466599994036</c:v>
                </c:pt>
                <c:pt idx="133">
                  <c:v>251.03982899994216</c:v>
                </c:pt>
                <c:pt idx="134">
                  <c:v>252.931254999944</c:v>
                </c:pt>
                <c:pt idx="135">
                  <c:v>254.82268099994587</c:v>
                </c:pt>
                <c:pt idx="136">
                  <c:v>256.71410699994607</c:v>
                </c:pt>
                <c:pt idx="137">
                  <c:v>258.59926999994366</c:v>
                </c:pt>
                <c:pt idx="138">
                  <c:v>260.49069599994124</c:v>
                </c:pt>
                <c:pt idx="139">
                  <c:v>262.38212199993882</c:v>
                </c:pt>
                <c:pt idx="140">
                  <c:v>264.27354799993634</c:v>
                </c:pt>
                <c:pt idx="141">
                  <c:v>266.15871099993393</c:v>
                </c:pt>
                <c:pt idx="142">
                  <c:v>268.04387399993152</c:v>
                </c:pt>
                <c:pt idx="143">
                  <c:v>269.92903699992911</c:v>
                </c:pt>
                <c:pt idx="144">
                  <c:v>271.81419999992664</c:v>
                </c:pt>
                <c:pt idx="145">
                  <c:v>273.70562599992422</c:v>
                </c:pt>
                <c:pt idx="146">
                  <c:v>275.59078899992181</c:v>
                </c:pt>
                <c:pt idx="147">
                  <c:v>277.4759519999194</c:v>
                </c:pt>
                <c:pt idx="148">
                  <c:v>279.36111499991694</c:v>
                </c:pt>
                <c:pt idx="149">
                  <c:v>281.24627799991453</c:v>
                </c:pt>
                <c:pt idx="150">
                  <c:v>283.13770399991211</c:v>
                </c:pt>
                <c:pt idx="151">
                  <c:v>285.01660399990971</c:v>
                </c:pt>
                <c:pt idx="152">
                  <c:v>286.90802999990723</c:v>
                </c:pt>
                <c:pt idx="153">
                  <c:v>288.79319299990482</c:v>
                </c:pt>
                <c:pt idx="154">
                  <c:v>290.67835599990241</c:v>
                </c:pt>
                <c:pt idx="155">
                  <c:v>292.55725599990001</c:v>
                </c:pt>
                <c:pt idx="156">
                  <c:v>294.44868199989753</c:v>
                </c:pt>
                <c:pt idx="157">
                  <c:v>296.33384499989512</c:v>
                </c:pt>
                <c:pt idx="158">
                  <c:v>298.21900799989271</c:v>
                </c:pt>
                <c:pt idx="159">
                  <c:v>300.1041709998903</c:v>
                </c:pt>
                <c:pt idx="160">
                  <c:v>301.99559699988788</c:v>
                </c:pt>
                <c:pt idx="161">
                  <c:v>303.8870229998854</c:v>
                </c:pt>
                <c:pt idx="162">
                  <c:v>305.77844899988298</c:v>
                </c:pt>
                <c:pt idx="163">
                  <c:v>307.66987499988056</c:v>
                </c:pt>
                <c:pt idx="164">
                  <c:v>309.55503799987815</c:v>
                </c:pt>
                <c:pt idx="165">
                  <c:v>311.44020099987569</c:v>
                </c:pt>
                <c:pt idx="166">
                  <c:v>313.32536399987328</c:v>
                </c:pt>
                <c:pt idx="167">
                  <c:v>315.21052699987086</c:v>
                </c:pt>
                <c:pt idx="168">
                  <c:v>317.10195299986844</c:v>
                </c:pt>
                <c:pt idx="169">
                  <c:v>318.98711599986598</c:v>
                </c:pt>
                <c:pt idx="170">
                  <c:v>320.87227899986357</c:v>
                </c:pt>
                <c:pt idx="171">
                  <c:v>322.75744199986116</c:v>
                </c:pt>
                <c:pt idx="172">
                  <c:v>324.64260499985875</c:v>
                </c:pt>
                <c:pt idx="173">
                  <c:v>326.52776799985628</c:v>
                </c:pt>
                <c:pt idx="174">
                  <c:v>328.41919399985386</c:v>
                </c:pt>
                <c:pt idx="175">
                  <c:v>330.31061999985144</c:v>
                </c:pt>
                <c:pt idx="176">
                  <c:v>332.20204599984902</c:v>
                </c:pt>
                <c:pt idx="177">
                  <c:v>334.09347199984654</c:v>
                </c:pt>
                <c:pt idx="178">
                  <c:v>335.97863499984413</c:v>
                </c:pt>
                <c:pt idx="179">
                  <c:v>337.86379799984172</c:v>
                </c:pt>
                <c:pt idx="180">
                  <c:v>339.74896099983931</c:v>
                </c:pt>
                <c:pt idx="181">
                  <c:v>341.63412399983685</c:v>
                </c:pt>
                <c:pt idx="182">
                  <c:v>343.52554999983442</c:v>
                </c:pt>
                <c:pt idx="183">
                  <c:v>345.416975999832</c:v>
                </c:pt>
                <c:pt idx="184">
                  <c:v>347.30840199982958</c:v>
                </c:pt>
                <c:pt idx="185">
                  <c:v>349.19356499982717</c:v>
                </c:pt>
                <c:pt idx="186">
                  <c:v>351.07872799982471</c:v>
                </c:pt>
                <c:pt idx="187">
                  <c:v>352.9638909998223</c:v>
                </c:pt>
                <c:pt idx="188">
                  <c:v>354.84905399981989</c:v>
                </c:pt>
                <c:pt idx="189">
                  <c:v>356.73421699981748</c:v>
                </c:pt>
                <c:pt idx="190">
                  <c:v>358.61937999981501</c:v>
                </c:pt>
              </c:numCache>
            </c:numRef>
          </c:xVal>
          <c:yVal>
            <c:numRef>
              <c:f>Sheet2!$F$3:$F$193</c:f>
              <c:numCache>
                <c:formatCode>General</c:formatCode>
                <c:ptCount val="191"/>
                <c:pt idx="0">
                  <c:v>0.94524923813766348</c:v>
                </c:pt>
                <c:pt idx="1">
                  <c:v>0.94603444901559786</c:v>
                </c:pt>
                <c:pt idx="2">
                  <c:v>0.94735275834575894</c:v>
                </c:pt>
                <c:pt idx="3">
                  <c:v>0.94916804820666945</c:v>
                </c:pt>
                <c:pt idx="4">
                  <c:v>0.95151806762449542</c:v>
                </c:pt>
                <c:pt idx="5">
                  <c:v>0.95436392135500703</c:v>
                </c:pt>
                <c:pt idx="6">
                  <c:v>0.95770408736538903</c:v>
                </c:pt>
                <c:pt idx="7">
                  <c:v>0.96154300925095515</c:v>
                </c:pt>
                <c:pt idx="8">
                  <c:v>0.96592152144339127</c:v>
                </c:pt>
                <c:pt idx="9">
                  <c:v>0.97076386618997212</c:v>
                </c:pt>
                <c:pt idx="10">
                  <c:v>0.97621979995106312</c:v>
                </c:pt>
                <c:pt idx="11">
                  <c:v>0.98211321998968437</c:v>
                </c:pt>
                <c:pt idx="12">
                  <c:v>0.98846317906143422</c:v>
                </c:pt>
                <c:pt idx="13">
                  <c:v>0.99525356523518049</c:v>
                </c:pt>
                <c:pt idx="14">
                  <c:v>1.0024913652279379</c:v>
                </c:pt>
                <c:pt idx="15">
                  <c:v>1.0100837495571071</c:v>
                </c:pt>
                <c:pt idx="16">
                  <c:v>1.0181383566462943</c:v>
                </c:pt>
                <c:pt idx="17">
                  <c:v>1.0265870991911332</c:v>
                </c:pt>
                <c:pt idx="18">
                  <c:v>1.0354086952182189</c:v>
                </c:pt>
                <c:pt idx="19">
                  <c:v>1.0445175228924348</c:v>
                </c:pt>
                <c:pt idx="20">
                  <c:v>1.0539448266853617</c:v>
                </c:pt>
                <c:pt idx="21">
                  <c:v>1.0637276141807137</c:v>
                </c:pt>
                <c:pt idx="22">
                  <c:v>1.0737717826632553</c:v>
                </c:pt>
                <c:pt idx="23">
                  <c:v>1.0840420362274363</c:v>
                </c:pt>
                <c:pt idx="24">
                  <c:v>1.0944300245869245</c:v>
                </c:pt>
                <c:pt idx="25">
                  <c:v>1.1050327908382711</c:v>
                </c:pt>
                <c:pt idx="26">
                  <c:v>1.1156656323407872</c:v>
                </c:pt>
                <c:pt idx="27">
                  <c:v>1.1264580192667071</c:v>
                </c:pt>
                <c:pt idx="28">
                  <c:v>1.1371457081288427</c:v>
                </c:pt>
                <c:pt idx="29">
                  <c:v>1.1478528902019181</c:v>
                </c:pt>
                <c:pt idx="30">
                  <c:v>1.1584167606399498</c:v>
                </c:pt>
                <c:pt idx="31">
                  <c:v>1.1687800427601303</c:v>
                </c:pt>
                <c:pt idx="32">
                  <c:v>1.1790182378025942</c:v>
                </c:pt>
                <c:pt idx="33">
                  <c:v>1.1888667320314352</c:v>
                </c:pt>
                <c:pt idx="34">
                  <c:v>1.1984278977050062</c:v>
                </c:pt>
                <c:pt idx="35">
                  <c:v>1.2075416704604398</c:v>
                </c:pt>
                <c:pt idx="36">
                  <c:v>1.2162053371832175</c:v>
                </c:pt>
                <c:pt idx="37">
                  <c:v>1.2243255344286454</c:v>
                </c:pt>
                <c:pt idx="38">
                  <c:v>1.2317942498261452</c:v>
                </c:pt>
                <c:pt idx="39">
                  <c:v>1.2386105852258138</c:v>
                </c:pt>
                <c:pt idx="40">
                  <c:v>1.2447789342197935</c:v>
                </c:pt>
                <c:pt idx="41">
                  <c:v>1.2501280946463404</c:v>
                </c:pt>
                <c:pt idx="42">
                  <c:v>1.2547068762848879</c:v>
                </c:pt>
                <c:pt idx="43">
                  <c:v>1.2584384765693828</c:v>
                </c:pt>
                <c:pt idx="44">
                  <c:v>1.2612911658595956</c:v>
                </c:pt>
                <c:pt idx="45">
                  <c:v>1.263230435572104</c:v>
                </c:pt>
                <c:pt idx="46">
                  <c:v>1.2642614286721641</c:v>
                </c:pt>
                <c:pt idx="47">
                  <c:v>1.2643729412134408</c:v>
                </c:pt>
                <c:pt idx="48">
                  <c:v>1.2635540666029612</c:v>
                </c:pt>
                <c:pt idx="49">
                  <c:v>1.2618119417064682</c:v>
                </c:pt>
                <c:pt idx="50">
                  <c:v>1.2591822792951186</c:v>
                </c:pt>
                <c:pt idx="51">
                  <c:v>1.2556789549146612</c:v>
                </c:pt>
                <c:pt idx="52">
                  <c:v>1.2512839389332688</c:v>
                </c:pt>
                <c:pt idx="53">
                  <c:v>1.2460836853701889</c:v>
                </c:pt>
                <c:pt idx="54">
                  <c:v>1.2401502042419827</c:v>
                </c:pt>
                <c:pt idx="55">
                  <c:v>1.2334992142977834</c:v>
                </c:pt>
                <c:pt idx="56">
                  <c:v>1.2261827199452695</c:v>
                </c:pt>
                <c:pt idx="57">
                  <c:v>1.2181743212228846</c:v>
                </c:pt>
                <c:pt idx="58">
                  <c:v>1.2096334510147719</c:v>
                </c:pt>
                <c:pt idx="59">
                  <c:v>1.2005966099242067</c:v>
                </c:pt>
                <c:pt idx="60">
                  <c:v>1.1911270400743326</c:v>
                </c:pt>
                <c:pt idx="61">
                  <c:v>1.1813548314536608</c:v>
                </c:pt>
                <c:pt idx="62">
                  <c:v>1.171280958947498</c:v>
                </c:pt>
                <c:pt idx="63">
                  <c:v>1.1609671129776054</c:v>
                </c:pt>
                <c:pt idx="64">
                  <c:v>1.1504383193448451</c:v>
                </c:pt>
                <c:pt idx="65">
                  <c:v>1.1397166174172009</c:v>
                </c:pt>
                <c:pt idx="66">
                  <c:v>1.1289649889296087</c:v>
                </c:pt>
                <c:pt idx="67">
                  <c:v>1.1182030238026799</c:v>
                </c:pt>
                <c:pt idx="68">
                  <c:v>1.1074825505846828</c:v>
                </c:pt>
                <c:pt idx="69">
                  <c:v>1.09685246111873</c:v>
                </c:pt>
                <c:pt idx="70">
                  <c:v>1.0863584548698313</c:v>
                </c:pt>
                <c:pt idx="71">
                  <c:v>1.0760767680335266</c:v>
                </c:pt>
                <c:pt idx="72">
                  <c:v>1.0660443087139939</c:v>
                </c:pt>
                <c:pt idx="73">
                  <c:v>1.0561976906217887</c:v>
                </c:pt>
                <c:pt idx="74">
                  <c:v>1.0466374404567385</c:v>
                </c:pt>
                <c:pt idx="75">
                  <c:v>1.0373935969700396</c:v>
                </c:pt>
                <c:pt idx="76">
                  <c:v>1.0285221123902235</c:v>
                </c:pt>
                <c:pt idx="77">
                  <c:v>1.0199883482239953</c:v>
                </c:pt>
                <c:pt idx="78">
                  <c:v>1.0118704474579283</c:v>
                </c:pt>
                <c:pt idx="79">
                  <c:v>1.0041837363589583</c:v>
                </c:pt>
                <c:pt idx="80">
                  <c:v>0.99687048877197149</c:v>
                </c:pt>
                <c:pt idx="81">
                  <c:v>0.99004255862360946</c:v>
                </c:pt>
                <c:pt idx="82">
                  <c:v>0.9836221856724735</c:v>
                </c:pt>
                <c:pt idx="83">
                  <c:v>0.97770590758831932</c:v>
                </c:pt>
                <c:pt idx="84">
                  <c:v>0.97225956940896907</c:v>
                </c:pt>
                <c:pt idx="85">
                  <c:v>0.96729178634621782</c:v>
                </c:pt>
                <c:pt idx="86">
                  <c:v>0.96278163373122527</c:v>
                </c:pt>
                <c:pt idx="87">
                  <c:v>0.95877021699941167</c:v>
                </c:pt>
                <c:pt idx="88">
                  <c:v>0.9552844366525538</c:v>
                </c:pt>
                <c:pt idx="89">
                  <c:v>0.95228223078300656</c:v>
                </c:pt>
                <c:pt idx="90">
                  <c:v>0.94979215979972509</c:v>
                </c:pt>
                <c:pt idx="91">
                  <c:v>0.94782850931454143</c:v>
                </c:pt>
                <c:pt idx="92">
                  <c:v>0.94636729268079445</c:v>
                </c:pt>
                <c:pt idx="93">
                  <c:v>0.94542489617944503</c:v>
                </c:pt>
                <c:pt idx="94">
                  <c:v>0.94500233155482027</c:v>
                </c:pt>
                <c:pt idx="95">
                  <c:v>0.9450988981633438</c:v>
                </c:pt>
                <c:pt idx="96">
                  <c:v>0.94571508265322923</c:v>
                </c:pt>
                <c:pt idx="97">
                  <c:v>0.94685086722667677</c:v>
                </c:pt>
                <c:pt idx="98">
                  <c:v>0.9484985796127865</c:v>
                </c:pt>
                <c:pt idx="99">
                  <c:v>0.95066739986153082</c:v>
                </c:pt>
                <c:pt idx="100">
                  <c:v>0.95334051890595828</c:v>
                </c:pt>
                <c:pt idx="101">
                  <c:v>0.95652111396377892</c:v>
                </c:pt>
                <c:pt idx="102">
                  <c:v>0.96019225594980318</c:v>
                </c:pt>
                <c:pt idx="103">
                  <c:v>0.96437371615018042</c:v>
                </c:pt>
                <c:pt idx="104">
                  <c:v>0.96903207948288506</c:v>
                </c:pt>
                <c:pt idx="105">
                  <c:v>0.97420964582406877</c:v>
                </c:pt>
                <c:pt idx="106">
                  <c:v>0.97984961230194789</c:v>
                </c:pt>
                <c:pt idx="107">
                  <c:v>0.98598017795271797</c:v>
                </c:pt>
                <c:pt idx="108">
                  <c:v>0.99257274554550634</c:v>
                </c:pt>
                <c:pt idx="109">
                  <c:v>0.99959104081793471</c:v>
                </c:pt>
                <c:pt idx="110">
                  <c:v>1.0070422256618359</c:v>
                </c:pt>
                <c:pt idx="111">
                  <c:v>1.0149104757476877</c:v>
                </c:pt>
                <c:pt idx="112">
                  <c:v>1.0231779121142397</c:v>
                </c:pt>
                <c:pt idx="113">
                  <c:v>1.0318244702923542</c:v>
                </c:pt>
                <c:pt idx="114">
                  <c:v>1.040797053270669</c:v>
                </c:pt>
                <c:pt idx="115">
                  <c:v>1.0501620288193683</c:v>
                </c:pt>
                <c:pt idx="116">
                  <c:v>1.0598325906436219</c:v>
                </c:pt>
                <c:pt idx="117">
                  <c:v>1.0697442644841493</c:v>
                </c:pt>
                <c:pt idx="118">
                  <c:v>1.0798948834648241</c:v>
                </c:pt>
                <c:pt idx="119">
                  <c:v>1.090247509671108</c:v>
                </c:pt>
                <c:pt idx="120">
                  <c:v>1.1007973513912057</c:v>
                </c:pt>
                <c:pt idx="121">
                  <c:v>1.1114665864279833</c:v>
                </c:pt>
                <c:pt idx="122">
                  <c:v>1.1221727631930578</c:v>
                </c:pt>
                <c:pt idx="123">
                  <c:v>1.1329014871003047</c:v>
                </c:pt>
                <c:pt idx="124">
                  <c:v>1.1435648965988618</c:v>
                </c:pt>
                <c:pt idx="125">
                  <c:v>1.1542141670942634</c:v>
                </c:pt>
                <c:pt idx="126">
                  <c:v>1.1646507374906325</c:v>
                </c:pt>
                <c:pt idx="127">
                  <c:v>1.1749201530341271</c:v>
                </c:pt>
                <c:pt idx="128">
                  <c:v>1.1848930784179734</c:v>
                </c:pt>
                <c:pt idx="129">
                  <c:v>1.1945421055159793</c:v>
                </c:pt>
                <c:pt idx="130">
                  <c:v>1.2038649980210563</c:v>
                </c:pt>
                <c:pt idx="131">
                  <c:v>1.2127325951385142</c:v>
                </c:pt>
                <c:pt idx="132">
                  <c:v>1.2210552313255707</c:v>
                </c:pt>
                <c:pt idx="133">
                  <c:v>1.2288024008932916</c:v>
                </c:pt>
                <c:pt idx="134">
                  <c:v>1.2359383498637997</c:v>
                </c:pt>
                <c:pt idx="135">
                  <c:v>1.2423807117966499</c:v>
                </c:pt>
                <c:pt idx="136">
                  <c:v>1.2480780134209535</c:v>
                </c:pt>
                <c:pt idx="137">
                  <c:v>1.2529687274608823</c:v>
                </c:pt>
                <c:pt idx="138">
                  <c:v>1.2570446043611878</c:v>
                </c:pt>
                <c:pt idx="139">
                  <c:v>1.2602534438065411</c:v>
                </c:pt>
                <c:pt idx="140">
                  <c:v>1.2625677561679027</c:v>
                </c:pt>
                <c:pt idx="141">
                  <c:v>1.2639643300096093</c:v>
                </c:pt>
                <c:pt idx="142">
                  <c:v>1.2644401917196764</c:v>
                </c:pt>
                <c:pt idx="143">
                  <c:v>1.2639912340674324</c:v>
                </c:pt>
                <c:pt idx="144">
                  <c:v>1.262621341850934</c:v>
                </c:pt>
                <c:pt idx="145">
                  <c:v>1.2603333084012358</c:v>
                </c:pt>
                <c:pt idx="146">
                  <c:v>1.2571620557726211</c:v>
                </c:pt>
                <c:pt idx="147">
                  <c:v>1.2531285118600217</c:v>
                </c:pt>
                <c:pt idx="148">
                  <c:v>1.2482667163772994</c:v>
                </c:pt>
                <c:pt idx="149">
                  <c:v>1.2426168745581547</c:v>
                </c:pt>
                <c:pt idx="150">
                  <c:v>1.2362025786595352</c:v>
                </c:pt>
                <c:pt idx="151">
                  <c:v>1.2291418983473743</c:v>
                </c:pt>
                <c:pt idx="152">
                  <c:v>1.2213958095773219</c:v>
                </c:pt>
                <c:pt idx="153">
                  <c:v>1.2130963126461514</c:v>
                </c:pt>
                <c:pt idx="154">
                  <c:v>1.2042794902244118</c:v>
                </c:pt>
                <c:pt idx="155">
                  <c:v>1.195038940765943</c:v>
                </c:pt>
                <c:pt idx="156">
                  <c:v>1.1853432875111196</c:v>
                </c:pt>
                <c:pt idx="157">
                  <c:v>1.1753501614529087</c:v>
                </c:pt>
                <c:pt idx="158">
                  <c:v>1.1650906919380082</c:v>
                </c:pt>
                <c:pt idx="159">
                  <c:v>1.1546264061254747</c:v>
                </c:pt>
                <c:pt idx="160">
                  <c:v>1.1439816524955677</c:v>
                </c:pt>
                <c:pt idx="161">
                  <c:v>1.1332492293307095</c:v>
                </c:pt>
                <c:pt idx="162">
                  <c:v>1.1224850084741711</c:v>
                </c:pt>
                <c:pt idx="163">
                  <c:v>1.1117420037714127</c:v>
                </c:pt>
                <c:pt idx="164">
                  <c:v>1.1011054745670883</c:v>
                </c:pt>
                <c:pt idx="165">
                  <c:v>1.0905862222367935</c:v>
                </c:pt>
                <c:pt idx="166">
                  <c:v>1.0802276847719694</c:v>
                </c:pt>
                <c:pt idx="167">
                  <c:v>1.0700699201368569</c:v>
                </c:pt>
                <c:pt idx="168">
                  <c:v>1.0601174114623693</c:v>
                </c:pt>
                <c:pt idx="169">
                  <c:v>1.0504700282944925</c:v>
                </c:pt>
                <c:pt idx="170">
                  <c:v>1.0411252265445765</c:v>
                </c:pt>
                <c:pt idx="171">
                  <c:v>1.032110996400796</c:v>
                </c:pt>
                <c:pt idx="172">
                  <c:v>1.0234525181653331</c:v>
                </c:pt>
                <c:pt idx="173">
                  <c:v>1.0151724448666672</c:v>
                </c:pt>
                <c:pt idx="174">
                  <c:v>1.0072654599439701</c:v>
                </c:pt>
                <c:pt idx="175">
                  <c:v>0.99977782817240335</c:v>
                </c:pt>
                <c:pt idx="176">
                  <c:v>0.99272555862330447</c:v>
                </c:pt>
                <c:pt idx="177">
                  <c:v>0.98612276548298294</c:v>
                </c:pt>
                <c:pt idx="178">
                  <c:v>0.98000127124249481</c:v>
                </c:pt>
                <c:pt idx="179">
                  <c:v>0.97434912460242684</c:v>
                </c:pt>
                <c:pt idx="180">
                  <c:v>0.96917544215996443</c:v>
                </c:pt>
                <c:pt idx="181">
                  <c:v>0.96448813084168428</c:v>
                </c:pt>
                <c:pt idx="182">
                  <c:v>0.96028073974353079</c:v>
                </c:pt>
                <c:pt idx="183">
                  <c:v>0.95657549067288705</c:v>
                </c:pt>
                <c:pt idx="184">
                  <c:v>0.95337715528572264</c:v>
                </c:pt>
                <c:pt idx="185">
                  <c:v>0.95069765799475192</c:v>
                </c:pt>
                <c:pt idx="186">
                  <c:v>0.94852876647530815</c:v>
                </c:pt>
                <c:pt idx="187">
                  <c:v>0.94687292249707866</c:v>
                </c:pt>
                <c:pt idx="188">
                  <c:v>0.94573192869790457</c:v>
                </c:pt>
                <c:pt idx="189">
                  <c:v>0.94510700367065803</c:v>
                </c:pt>
                <c:pt idx="190">
                  <c:v>0.94499881878780645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FF-4910-948D-4A43C09EC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1153951"/>
        <c:axId val="1301149631"/>
      </c:scatterChart>
      <c:valAx>
        <c:axId val="1301153951"/>
        <c:scaling>
          <c:orientation val="minMax"/>
          <c:max val="3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 b="1">
                    <a:solidFill>
                      <a:schemeClr val="tx1"/>
                    </a:solidFill>
                  </a:rPr>
                  <a:t>satellite phase (°)</a:t>
                </a:r>
                <a:endParaRPr lang="ko-KR" altLang="en-US" sz="20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0007771471486153"/>
              <c:y val="0.911231092225453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1149631"/>
        <c:crosses val="autoZero"/>
        <c:crossBetween val="midCat"/>
        <c:majorUnit val="90"/>
      </c:valAx>
      <c:valAx>
        <c:axId val="1301149631"/>
        <c:scaling>
          <c:orientation val="minMax"/>
          <c:max val="1.3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 b="1">
                    <a:solidFill>
                      <a:schemeClr val="tx1"/>
                    </a:solidFill>
                  </a:rPr>
                  <a:t>mrad/sec</a:t>
                </a:r>
                <a:endParaRPr lang="ko-KR" altLang="en-US" sz="20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3.1920338898489427E-3"/>
              <c:y val="0.376548198562442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1153951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6773543669097186"/>
          <c:y val="8.472770147100861E-2"/>
          <c:w val="8.598007190621855E-2"/>
          <c:h val="0.13906252396927526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47625</xdr:colOff>
      <xdr:row>5</xdr:row>
      <xdr:rowOff>180975</xdr:rowOff>
    </xdr:from>
    <xdr:to>
      <xdr:col>28</xdr:col>
      <xdr:colOff>28575</xdr:colOff>
      <xdr:row>18</xdr:row>
      <xdr:rowOff>200025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1B49176-1506-5276-DBF0-C5513F2600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123825</xdr:colOff>
      <xdr:row>20</xdr:row>
      <xdr:rowOff>19050</xdr:rowOff>
    </xdr:from>
    <xdr:to>
      <xdr:col>29</xdr:col>
      <xdr:colOff>142875</xdr:colOff>
      <xdr:row>33</xdr:row>
      <xdr:rowOff>38100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D49E6072-9C40-E528-0D0D-77CA324B96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876300</xdr:colOff>
      <xdr:row>10</xdr:row>
      <xdr:rowOff>0</xdr:rowOff>
    </xdr:from>
    <xdr:to>
      <xdr:col>20</xdr:col>
      <xdr:colOff>266700</xdr:colOff>
      <xdr:row>23</xdr:row>
      <xdr:rowOff>19050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522DA8D-64D0-BD2A-C49D-44B054F6AE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8164</xdr:colOff>
      <xdr:row>15</xdr:row>
      <xdr:rowOff>80281</xdr:rowOff>
    </xdr:from>
    <xdr:to>
      <xdr:col>26</xdr:col>
      <xdr:colOff>440871</xdr:colOff>
      <xdr:row>28</xdr:row>
      <xdr:rowOff>99331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33867B9-C12E-5FA9-7E3D-A419DC2B5B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448722</xdr:colOff>
      <xdr:row>1</xdr:row>
      <xdr:rowOff>28052</xdr:rowOff>
    </xdr:from>
    <xdr:to>
      <xdr:col>19</xdr:col>
      <xdr:colOff>220122</xdr:colOff>
      <xdr:row>14</xdr:row>
      <xdr:rowOff>47101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3675F9F6-0572-19BB-D4E6-5F17429EFE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639535</xdr:colOff>
      <xdr:row>15</xdr:row>
      <xdr:rowOff>95250</xdr:rowOff>
    </xdr:from>
    <xdr:to>
      <xdr:col>19</xdr:col>
      <xdr:colOff>408213</xdr:colOff>
      <xdr:row>28</xdr:row>
      <xdr:rowOff>114300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C1D01EA7-5FBB-4A7C-AA60-B63BB8A551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13606</xdr:colOff>
      <xdr:row>0</xdr:row>
      <xdr:rowOff>197304</xdr:rowOff>
    </xdr:from>
    <xdr:to>
      <xdr:col>26</xdr:col>
      <xdr:colOff>470806</xdr:colOff>
      <xdr:row>14</xdr:row>
      <xdr:rowOff>12246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97CDB91A-4EF9-4445-9F86-64EC3D3962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204108</xdr:colOff>
      <xdr:row>33</xdr:row>
      <xdr:rowOff>54428</xdr:rowOff>
    </xdr:from>
    <xdr:to>
      <xdr:col>23</xdr:col>
      <xdr:colOff>636815</xdr:colOff>
      <xdr:row>46</xdr:row>
      <xdr:rowOff>73478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76F6977F-71E9-4187-A65D-3B1080EAFF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145566</xdr:colOff>
      <xdr:row>2</xdr:row>
      <xdr:rowOff>109332</xdr:rowOff>
    </xdr:from>
    <xdr:to>
      <xdr:col>20</xdr:col>
      <xdr:colOff>540854</xdr:colOff>
      <xdr:row>24</xdr:row>
      <xdr:rowOff>182218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3D4B5C3-5346-62DE-FC55-7D81CC7F1F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07976AC-9820-4643-9FFC-BDA918A5B7C0}" autoFormatId="16" applyNumberFormats="0" applyBorderFormats="0" applyFontFormats="0" applyPatternFormats="0" applyAlignmentFormats="0" applyWidthHeightFormats="0">
  <queryTableRefresh nextId="6">
    <queryTableFields count="5">
      <queryTableField id="1" name="S1_id" tableColumnId="1"/>
      <queryTableField id="2" name="phase" tableColumnId="2"/>
      <queryTableField id="5" dataBound="0" tableColumnId="5"/>
      <queryTableField id="3" name="gap of angle (rad)" tableColumnId="3"/>
      <queryTableField id="4" name="distanc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8C3FE4C-E054-4F13-98DB-81699A90B39E}" autoFormatId="16" applyNumberFormats="0" applyBorderFormats="0" applyFontFormats="0" applyPatternFormats="0" applyAlignmentFormats="0" applyWidthHeightFormats="0">
  <queryTableRefresh nextId="15">
    <queryTableFields count="5">
      <queryTableField id="1" name="S1_id" tableColumnId="1"/>
      <queryTableField id="2" name="phase" tableColumnId="2"/>
      <queryTableField id="14" dataBound="0" tableColumnId="13"/>
      <queryTableField id="10" name="gap of angle (rad)" tableColumnId="10"/>
      <queryTableField id="9" name="link direction" tableColumnId="9"/>
    </queryTableFields>
    <queryTableDeletedFields count="8">
      <deletedField name="S1_lon"/>
      <deletedField name="S1_alt"/>
      <deletedField name="S2_id"/>
      <deletedField name="S2_lat"/>
      <deletedField name="S2_lon"/>
      <deletedField name="S2_alt"/>
      <deletedField name="time"/>
      <deletedField name="distance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082ACB98-974D-4094-8903-E1D81288F41E}" autoFormatId="16" applyNumberFormats="0" applyBorderFormats="0" applyFontFormats="0" applyPatternFormats="0" applyAlignmentFormats="0" applyWidthHeightFormats="0">
  <queryTableRefresh nextId="14">
    <queryTableFields count="4">
      <queryTableField id="1" name="S1_id" tableColumnId="1"/>
      <queryTableField id="2" name="phase" tableColumnId="2"/>
      <queryTableField id="13" dataBound="0" tableColumnId="13"/>
      <queryTableField id="10" name="gap of angle (rad)" tableColumnId="10"/>
    </queryTableFields>
    <queryTableDeletedFields count="9">
      <deletedField name="S1_lon"/>
      <deletedField name="S1_alt"/>
      <deletedField name="S2_id"/>
      <deletedField name="S2_lat"/>
      <deletedField name="S2_lon"/>
      <deletedField name="S2_alt"/>
      <deletedField name="link direction"/>
      <deletedField name="time"/>
      <deletedField name="distance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DDCAF6A-6230-4A85-BB5F-CD34C238CB25}" autoFormatId="16" applyNumberFormats="0" applyBorderFormats="0" applyFontFormats="0" applyPatternFormats="0" applyAlignmentFormats="0" applyWidthHeightFormats="0">
  <queryTableRefresh nextId="15">
    <queryTableFields count="7">
      <queryTableField id="1" name="S1_id" tableColumnId="1"/>
      <queryTableField id="2" name="phase" tableColumnId="2"/>
      <queryTableField id="14" dataBound="0" tableColumnId="13"/>
      <queryTableField id="10" name="gap of angle (rad)" tableColumnId="10"/>
      <queryTableField id="9" name="link direction" tableColumnId="9"/>
      <queryTableField id="11" name="time" tableColumnId="11"/>
      <queryTableField id="12" name="distance" tableColumnId="12"/>
    </queryTableFields>
    <queryTableDeletedFields count="6">
      <deletedField name="S1_lon"/>
      <deletedField name="S1_alt"/>
      <deletedField name="S2_id"/>
      <deletedField name="S2_lat"/>
      <deletedField name="S2_lon"/>
      <deletedField name="S2_al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494B15-38B1-4DF8-A2D2-8BFFC1EA523A}" name="DTDRpat_result0_1" displayName="DTDRpat_result0_1" ref="A1:E383" tableType="queryTable" totalsRowShown="0">
  <autoFilter ref="A1:E383" xr:uid="{A7494B15-38B1-4DF8-A2D2-8BFFC1EA523A}"/>
  <tableColumns count="5">
    <tableColumn id="1" xr3:uid="{71BE4794-A4E0-4500-9CD6-C6C686C09547}" uniqueName="1" name="S1_id" queryTableFieldId="1" dataDxfId="11"/>
    <tableColumn id="2" xr3:uid="{7BE56982-45CA-48A2-B7CE-0F23A18460AD}" uniqueName="2" name="phase" queryTableFieldId="2"/>
    <tableColumn id="5" xr3:uid="{9167C787-9D59-4EC2-B96C-1DA8DD63E0E2}" uniqueName="5" name="F=4" queryTableFieldId="5" dataDxfId="10">
      <calculatedColumnFormula>DTDRpat_result0_1[[#This Row],[gap of angle (rad)2]]*10000</calculatedColumnFormula>
    </tableColumn>
    <tableColumn id="3" xr3:uid="{E79C1899-DA7A-44EA-A09C-3D2AEBC49D3C}" uniqueName="3" name="gap of angle (rad)2" queryTableFieldId="3"/>
    <tableColumn id="4" xr3:uid="{CE9B6B20-63A4-4254-92BA-87ACB02D6A3A}" uniqueName="4" name="distance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D90090-1662-4D58-B994-8E2BA8FC478E}" name="DTDRpat_result0__2" displayName="DTDRpat_result0__2" ref="G1:K427" tableType="queryTable" totalsRowShown="0">
  <autoFilter ref="G1:K427" xr:uid="{07D90090-1662-4D58-B994-8E2BA8FC478E}"/>
  <tableColumns count="5">
    <tableColumn id="1" xr3:uid="{7188D8C9-AE01-4CCC-BD2D-06D8FE0520CC}" uniqueName="1" name="S1_id" queryTableFieldId="1" dataDxfId="9"/>
    <tableColumn id="2" xr3:uid="{E15F1BD9-AA29-4190-A159-67C6AC034D63}" uniqueName="2" name="phase" queryTableFieldId="2"/>
    <tableColumn id="13" xr3:uid="{BF25158C-3BE0-4B41-9006-12F51FDDBDAF}" uniqueName="13" name="F=8" queryTableFieldId="14" dataDxfId="8">
      <calculatedColumnFormula>DTDRpat_result0__2[[#This Row],[gap of angle (rad)2]]*10000</calculatedColumnFormula>
    </tableColumn>
    <tableColumn id="10" xr3:uid="{C92FDC81-E81B-4D4E-804C-81BDF771BE35}" uniqueName="10" name="gap of angle (rad)2" queryTableFieldId="10"/>
    <tableColumn id="9" xr3:uid="{2B4489C2-307D-4FD5-9CD8-5881020F63EA}" uniqueName="9" name="link direction" queryTableFieldId="9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F1010C-8759-48B7-90CE-C1955EB1F0A4}" name="DTDRpat_result0__3" displayName="DTDRpat_result0__3" ref="M1:P401" tableType="queryTable" totalsRowShown="0">
  <autoFilter ref="M1:P401" xr:uid="{ACF1010C-8759-48B7-90CE-C1955EB1F0A4}"/>
  <tableColumns count="4">
    <tableColumn id="1" xr3:uid="{3F932A1E-25A1-481D-85AD-F207983D0BF9}" uniqueName="1" name="S1_id" queryTableFieldId="1" dataDxfId="6"/>
    <tableColumn id="2" xr3:uid="{23400859-705C-410E-9422-EECADFD69811}" uniqueName="2" name="phase" queryTableFieldId="2"/>
    <tableColumn id="13" xr3:uid="{F17E7533-A723-4445-9EEA-27832576A7CD}" uniqueName="13" name="F=39" queryTableFieldId="13" dataDxfId="5">
      <calculatedColumnFormula>DTDRpat_result0__3[[#This Row],[gap of angle (rad)2]]*10000</calculatedColumnFormula>
    </tableColumn>
    <tableColumn id="10" xr3:uid="{7CD7D300-0C86-4F08-9A5E-B396773914BE}" uniqueName="10" name="gap of angle (rad)2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94D0C9-3D46-43A9-872E-09B4560E45F2}" name="DTDRpat_result0" displayName="DTDRpat_result0" ref="H1:K401" totalsRowShown="0">
  <autoFilter ref="H1:K401" xr:uid="{8E94D0C9-3D46-43A9-872E-09B4560E45F2}"/>
  <tableColumns count="4">
    <tableColumn id="1" xr3:uid="{B54EFCC5-888F-45A9-8A7E-BCC300BDAF79}" name="S1_id" dataDxfId="4"/>
    <tableColumn id="2" xr3:uid="{7D99B660-015C-43FF-86B0-CC42224A1B01}" name="phase"/>
    <tableColumn id="13" xr3:uid="{C7AD4689-1AE5-4D7B-8272-EEF3622FDC7E}" name="F=0" dataDxfId="3">
      <calculatedColumnFormula>DTDRpat_result0[[#This Row],[gap of angle (rad)2]]*1000</calculatedColumnFormula>
    </tableColumn>
    <tableColumn id="10" xr3:uid="{FB3C6A30-E2E3-48F8-90A7-2F399F8AE484}" name="gap of angle (rad)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85704A-3018-4175-A580-3BB6F225E3DB}" name="DTDRpat_result0__4" displayName="DTDRpat_result0__4" ref="A1:G401" tableType="queryTable" totalsRowShown="0">
  <autoFilter ref="A1:G401" xr:uid="{BB85704A-3018-4175-A580-3BB6F225E3DB}">
    <filterColumn colId="4">
      <filters blank="1">
        <filter val="right"/>
      </filters>
    </filterColumn>
  </autoFilter>
  <tableColumns count="7">
    <tableColumn id="1" xr3:uid="{0EB79296-17BC-4893-A35D-D7D292F3F7F6}" uniqueName="1" name="S1_id" queryTableFieldId="1" dataDxfId="2"/>
    <tableColumn id="2" xr3:uid="{4BD80244-BEFF-4655-9F87-F14FDB4EE4B4}" uniqueName="2" name="phase" queryTableFieldId="2"/>
    <tableColumn id="13" xr3:uid="{58A556AA-6F03-40BC-8A22-9D558BD89095}" uniqueName="13" name="gap of angle (mrad)" queryTableFieldId="14" dataDxfId="1">
      <calculatedColumnFormula>DTDRpat_result0__4[[#This Row],[gap of angle (rad)2]]*10000</calculatedColumnFormula>
    </tableColumn>
    <tableColumn id="10" xr3:uid="{D2E5921C-2B3E-426B-9604-93C428C85130}" uniqueName="10" name="gap of angle (rad)2" queryTableFieldId="10"/>
    <tableColumn id="9" xr3:uid="{E92A8FC5-427A-4805-ACF1-4D6423E41E5F}" uniqueName="9" name="link direction" queryTableFieldId="9" dataDxfId="0"/>
    <tableColumn id="11" xr3:uid="{0B01B085-2E08-4E34-8E00-FCED7EC977D2}" uniqueName="11" name="열1" queryTableFieldId="11"/>
    <tableColumn id="12" xr3:uid="{4DDDD6B5-5E7F-47E8-9788-D55C06E58064}" uniqueName="12" name="열2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6016A-CF43-430E-8239-B60FE3D8AC3A}">
  <dimension ref="A1:P427"/>
  <sheetViews>
    <sheetView zoomScale="55" zoomScaleNormal="55" workbookViewId="0">
      <selection activeCell="C2" sqref="C2"/>
    </sheetView>
  </sheetViews>
  <sheetFormatPr defaultRowHeight="16.5" x14ac:dyDescent="0.3"/>
  <cols>
    <col min="1" max="1" width="8.25" bestFit="1" customWidth="1"/>
    <col min="2" max="2" width="11.625" bestFit="1" customWidth="1"/>
    <col min="3" max="3" width="11.625" customWidth="1"/>
    <col min="4" max="4" width="20.375" bestFit="1" customWidth="1"/>
    <col min="5" max="5" width="12.75" bestFit="1" customWidth="1"/>
    <col min="7" max="7" width="8.25" bestFit="1" customWidth="1"/>
    <col min="8" max="8" width="11.625" bestFit="1" customWidth="1"/>
    <col min="9" max="9" width="11.625" customWidth="1"/>
    <col min="10" max="10" width="20.375" bestFit="1" customWidth="1"/>
    <col min="11" max="11" width="15.625" bestFit="1" customWidth="1"/>
    <col min="12" max="12" width="12.75" bestFit="1" customWidth="1"/>
    <col min="13" max="13" width="8.25" bestFit="1" customWidth="1"/>
    <col min="14" max="14" width="11.625" bestFit="1" customWidth="1"/>
    <col min="15" max="15" width="11.625" customWidth="1"/>
    <col min="16" max="16" width="20.375" bestFit="1" customWidth="1"/>
  </cols>
  <sheetData>
    <row r="1" spans="1:16" x14ac:dyDescent="0.3">
      <c r="A1" t="s">
        <v>0</v>
      </c>
      <c r="B1" t="s">
        <v>1</v>
      </c>
      <c r="C1" t="s">
        <v>17</v>
      </c>
      <c r="D1" t="s">
        <v>11</v>
      </c>
      <c r="E1" t="s">
        <v>5</v>
      </c>
      <c r="G1" t="s">
        <v>0</v>
      </c>
      <c r="H1" t="s">
        <v>1</v>
      </c>
      <c r="I1" t="s">
        <v>16</v>
      </c>
      <c r="J1" t="s">
        <v>11</v>
      </c>
      <c r="K1" t="s">
        <v>2</v>
      </c>
      <c r="M1" t="s">
        <v>0</v>
      </c>
      <c r="N1" t="s">
        <v>1</v>
      </c>
      <c r="O1" t="s">
        <v>15</v>
      </c>
      <c r="P1" t="s">
        <v>11</v>
      </c>
    </row>
    <row r="2" spans="1:16" x14ac:dyDescent="0.3">
      <c r="A2" t="s">
        <v>6</v>
      </c>
      <c r="B2">
        <v>6.2630000000000012E-3</v>
      </c>
      <c r="C2">
        <f>DTDRpat_result0_1[[#This Row],[gap of angle (rad)2]]*10000</f>
        <v>0.76553154821114489</v>
      </c>
      <c r="D2">
        <v>7.655315482111449E-5</v>
      </c>
      <c r="E2">
        <v>675.4906765748276</v>
      </c>
      <c r="G2" t="s">
        <v>6</v>
      </c>
      <c r="H2">
        <v>6.2630000000000012E-3</v>
      </c>
      <c r="I2">
        <f>DTDRpat_result0__2[[#This Row],[gap of angle (rad)2]]*10000</f>
        <v>0.84224296081406436</v>
      </c>
      <c r="J2">
        <v>8.4224296081406434E-5</v>
      </c>
      <c r="K2" t="s">
        <v>7</v>
      </c>
      <c r="M2" t="s">
        <v>6</v>
      </c>
      <c r="N2">
        <v>6.2630000000000012E-3</v>
      </c>
      <c r="O2">
        <f>DTDRpat_result0__3[[#This Row],[gap of angle (rad)2]]*10000</f>
        <v>1.0364912578066909</v>
      </c>
      <c r="P2">
        <v>1.0364912578066909E-4</v>
      </c>
    </row>
    <row r="3" spans="1:16" x14ac:dyDescent="0.3">
      <c r="A3" t="s">
        <v>6</v>
      </c>
      <c r="B3">
        <v>6.2630000000000012E-3</v>
      </c>
      <c r="C3">
        <f>DTDRpat_result0_1[[#This Row],[gap of angle (rad)2]]*10000</f>
        <v>0.76553222983503211</v>
      </c>
      <c r="D3">
        <v>7.6553222983503214E-5</v>
      </c>
      <c r="E3">
        <v>675.49007959299183</v>
      </c>
      <c r="G3" t="s">
        <v>6</v>
      </c>
      <c r="H3">
        <v>6.2630000000000012E-3</v>
      </c>
      <c r="I3">
        <f>DTDRpat_result0__2[[#This Row],[gap of angle (rad)2]]*10000</f>
        <v>0.84224421307871911</v>
      </c>
      <c r="J3">
        <v>8.4224421307871916E-5</v>
      </c>
      <c r="K3" t="s">
        <v>8</v>
      </c>
      <c r="M3" t="s">
        <v>6</v>
      </c>
      <c r="N3">
        <v>6.2630000000000012E-3</v>
      </c>
      <c r="O3">
        <f>DTDRpat_result0__3[[#This Row],[gap of angle (rad)2]]*10000</f>
        <v>1.0364930358908084</v>
      </c>
      <c r="P3">
        <v>1.0364930358908085E-4</v>
      </c>
    </row>
    <row r="4" spans="1:16" x14ac:dyDescent="0.3">
      <c r="A4" t="s">
        <v>6</v>
      </c>
      <c r="B4">
        <v>1.8851630000000021</v>
      </c>
      <c r="C4">
        <f>DTDRpat_result0_1[[#This Row],[gap of angle (rad)2]]*10000</f>
        <v>0.76574952089896986</v>
      </c>
      <c r="D4">
        <v>7.6574952089896982E-5</v>
      </c>
      <c r="E4">
        <v>675.39392573681641</v>
      </c>
      <c r="G4" t="s">
        <v>6</v>
      </c>
      <c r="H4">
        <v>1.8851630000000021</v>
      </c>
      <c r="I4">
        <f>DTDRpat_result0__2[[#This Row],[gap of angle (rad)2]]*10000</f>
        <v>0.84225612927238447</v>
      </c>
      <c r="J4">
        <v>8.4225612927238451E-5</v>
      </c>
      <c r="K4" t="s">
        <v>7</v>
      </c>
      <c r="M4" t="s">
        <v>6</v>
      </c>
      <c r="N4">
        <v>1.8851630000000021</v>
      </c>
      <c r="O4">
        <f>DTDRpat_result0__3[[#This Row],[gap of angle (rad)2]]*10000</f>
        <v>1.0360700658489905</v>
      </c>
      <c r="P4">
        <v>1.0360700658489906E-4</v>
      </c>
    </row>
    <row r="5" spans="1:16" x14ac:dyDescent="0.3">
      <c r="A5" t="s">
        <v>6</v>
      </c>
      <c r="B5">
        <v>1.8851630000000021</v>
      </c>
      <c r="C5">
        <f>DTDRpat_result0_1[[#This Row],[gap of angle (rad)2]]*10000</f>
        <v>0.76615628466548003</v>
      </c>
      <c r="D5">
        <v>7.6615628466548006E-5</v>
      </c>
      <c r="E5">
        <v>675.21431433479324</v>
      </c>
      <c r="G5" t="s">
        <v>6</v>
      </c>
      <c r="H5">
        <v>1.8851630000000021</v>
      </c>
      <c r="I5">
        <f>DTDRpat_result0__2[[#This Row],[gap of angle (rad)2]]*10000</f>
        <v>0.8429698180275258</v>
      </c>
      <c r="J5">
        <v>8.4296981802752576E-5</v>
      </c>
      <c r="K5" t="s">
        <v>8</v>
      </c>
      <c r="M5" t="s">
        <v>6</v>
      </c>
      <c r="N5">
        <v>1.8851630000000021</v>
      </c>
      <c r="O5">
        <f>DTDRpat_result0__3[[#This Row],[gap of angle (rad)2]]*10000</f>
        <v>1.0371402379857686</v>
      </c>
      <c r="P5">
        <v>1.0371402379857686E-4</v>
      </c>
    </row>
    <row r="6" spans="1:16" x14ac:dyDescent="0.3">
      <c r="A6" t="s">
        <v>6</v>
      </c>
      <c r="B6">
        <v>3.7891150000000429</v>
      </c>
      <c r="C6">
        <f>DTDRpat_result0_1[[#This Row],[gap of angle (rad)2]]*10000</f>
        <v>0.76682693044694394</v>
      </c>
      <c r="D6">
        <v>7.6682693044694396E-5</v>
      </c>
      <c r="E6">
        <v>674.91866744467995</v>
      </c>
      <c r="G6" t="s">
        <v>6</v>
      </c>
      <c r="H6">
        <v>3.7891150000000429</v>
      </c>
      <c r="I6">
        <f>DTDRpat_result0__2[[#This Row],[gap of angle (rad)2]]*10000</f>
        <v>0.843020496114677</v>
      </c>
      <c r="J6">
        <v>8.4302049611467705E-5</v>
      </c>
      <c r="K6" t="s">
        <v>7</v>
      </c>
      <c r="M6" t="s">
        <v>6</v>
      </c>
      <c r="N6">
        <v>3.7891150000000429</v>
      </c>
      <c r="O6">
        <f>DTDRpat_result0__3[[#This Row],[gap of angle (rad)2]]*10000</f>
        <v>1.0358743784354421</v>
      </c>
      <c r="P6">
        <v>1.035874378435442E-4</v>
      </c>
    </row>
    <row r="7" spans="1:16" x14ac:dyDescent="0.3">
      <c r="A7" t="s">
        <v>6</v>
      </c>
      <c r="B7">
        <v>3.7891150000000429</v>
      </c>
      <c r="C7">
        <f>DTDRpat_result0_1[[#This Row],[gap of angle (rad)2]]*10000</f>
        <v>0.7676461295266962</v>
      </c>
      <c r="D7">
        <v>7.6764612952669617E-5</v>
      </c>
      <c r="E7">
        <v>674.55814423505944</v>
      </c>
      <c r="G7" t="s">
        <v>6</v>
      </c>
      <c r="H7">
        <v>3.7891150000000429</v>
      </c>
      <c r="I7">
        <f>DTDRpat_result0__2[[#This Row],[gap of angle (rad)2]]*10000</f>
        <v>0.8444569301047723</v>
      </c>
      <c r="J7">
        <v>8.4445693010477233E-5</v>
      </c>
      <c r="K7" t="s">
        <v>8</v>
      </c>
      <c r="M7" t="s">
        <v>6</v>
      </c>
      <c r="N7">
        <v>3.7891150000000429</v>
      </c>
      <c r="O7">
        <f>DTDRpat_result0__3[[#This Row],[gap of angle (rad)2]]*10000</f>
        <v>1.0380238307433103</v>
      </c>
      <c r="P7">
        <v>1.0380238307433102E-4</v>
      </c>
    </row>
    <row r="8" spans="1:16" x14ac:dyDescent="0.3">
      <c r="A8" t="s">
        <v>6</v>
      </c>
      <c r="B8">
        <v>5.6680149999999898</v>
      </c>
      <c r="C8">
        <f>DTDRpat_result0_1[[#This Row],[gap of angle (rad)2]]*10000</f>
        <v>0.76873783614158708</v>
      </c>
      <c r="D8">
        <v>7.6873783614158703E-5</v>
      </c>
      <c r="E8">
        <v>674.07867046898934</v>
      </c>
      <c r="G8" t="s">
        <v>6</v>
      </c>
      <c r="H8">
        <v>5.6680149999999898</v>
      </c>
      <c r="I8">
        <f>DTDRpat_result0__2[[#This Row],[gap of angle (rad)2]]*10000</f>
        <v>0.8445168396950774</v>
      </c>
      <c r="J8">
        <v>8.4451683969507735E-5</v>
      </c>
      <c r="K8" t="s">
        <v>7</v>
      </c>
      <c r="M8" t="s">
        <v>6</v>
      </c>
      <c r="N8">
        <v>5.6680149999999898</v>
      </c>
      <c r="O8">
        <f>DTDRpat_result0__3[[#This Row],[gap of angle (rad)2]]*10000</f>
        <v>1.0359098749757607</v>
      </c>
      <c r="P8">
        <v>1.0359098749757606E-4</v>
      </c>
    </row>
    <row r="9" spans="1:16" x14ac:dyDescent="0.3">
      <c r="A9" t="s">
        <v>6</v>
      </c>
      <c r="B9">
        <v>5.6680149999999898</v>
      </c>
      <c r="C9">
        <f>DTDRpat_result0_1[[#This Row],[gap of angle (rad)2]]*10000</f>
        <v>0.76996594023584419</v>
      </c>
      <c r="D9">
        <v>7.6996594023584424E-5</v>
      </c>
      <c r="E9">
        <v>673.54058094708864</v>
      </c>
      <c r="G9" t="s">
        <v>6</v>
      </c>
      <c r="H9">
        <v>5.6680149999999898</v>
      </c>
      <c r="I9">
        <f>DTDRpat_result0__2[[#This Row],[gap of angle (rad)2]]*10000</f>
        <v>0.8466677457301055</v>
      </c>
      <c r="J9">
        <v>8.4666774573010555E-5</v>
      </c>
      <c r="K9" t="s">
        <v>8</v>
      </c>
      <c r="M9" t="s">
        <v>6</v>
      </c>
      <c r="N9">
        <v>5.6680149999999898</v>
      </c>
      <c r="O9">
        <f>DTDRpat_result0__3[[#This Row],[gap of angle (rad)2]]*10000</f>
        <v>1.0391179538103315</v>
      </c>
      <c r="P9">
        <v>1.0391179538103315E-4</v>
      </c>
    </row>
    <row r="10" spans="1:16" x14ac:dyDescent="0.3">
      <c r="A10" t="s">
        <v>6</v>
      </c>
      <c r="B10">
        <v>7.5657039999999816</v>
      </c>
      <c r="C10">
        <f>DTDRpat_result0_1[[#This Row],[gap of angle (rad)2]]*10000</f>
        <v>0.7715271016327474</v>
      </c>
      <c r="D10">
        <v>7.715271016327474E-5</v>
      </c>
      <c r="E10">
        <v>672.85848297808991</v>
      </c>
      <c r="G10" t="s">
        <v>6</v>
      </c>
      <c r="H10">
        <v>7.5657039999999816</v>
      </c>
      <c r="I10">
        <f>DTDRpat_result0__2[[#This Row],[gap of angle (rad)2]]*10000</f>
        <v>0.84677762431399195</v>
      </c>
      <c r="J10">
        <v>8.46777624313992E-5</v>
      </c>
      <c r="K10" t="s">
        <v>7</v>
      </c>
      <c r="M10" t="s">
        <v>6</v>
      </c>
      <c r="N10">
        <v>7.5657039999999816</v>
      </c>
      <c r="O10">
        <f>DTDRpat_result0__3[[#This Row],[gap of angle (rad)2]]*10000</f>
        <v>1.0361761674138823</v>
      </c>
      <c r="P10">
        <v>1.0361761674138823E-4</v>
      </c>
    </row>
    <row r="11" spans="1:16" x14ac:dyDescent="0.3">
      <c r="A11" t="s">
        <v>6</v>
      </c>
      <c r="B11">
        <v>7.5657039999999816</v>
      </c>
      <c r="C11">
        <f>DTDRpat_result0_1[[#This Row],[gap of angle (rad)2]]*10000</f>
        <v>0.77317096974331267</v>
      </c>
      <c r="D11">
        <v>7.7317096974331267E-5</v>
      </c>
      <c r="E11">
        <v>672.14251350583459</v>
      </c>
      <c r="G11" t="s">
        <v>6</v>
      </c>
      <c r="H11">
        <v>7.5657039999999816</v>
      </c>
      <c r="I11">
        <f>DTDRpat_result0__2[[#This Row],[gap of angle (rad)2]]*10000</f>
        <v>0.8496522162967971</v>
      </c>
      <c r="J11">
        <v>8.4965221629679707E-5</v>
      </c>
      <c r="K11" t="s">
        <v>8</v>
      </c>
      <c r="M11" t="s">
        <v>6</v>
      </c>
      <c r="N11">
        <v>7.5657039999999816</v>
      </c>
      <c r="O11">
        <f>DTDRpat_result0__3[[#This Row],[gap of angle (rad)2]]*10000</f>
        <v>1.0404435726701098</v>
      </c>
      <c r="P11">
        <v>1.0404435726701099E-4</v>
      </c>
    </row>
    <row r="12" spans="1:16" x14ac:dyDescent="0.3">
      <c r="A12" t="s">
        <v>6</v>
      </c>
      <c r="B12">
        <v>9.4508670000001374</v>
      </c>
      <c r="C12">
        <f>DTDRpat_result0_1[[#This Row],[gap of angle (rad)2]]*10000</f>
        <v>0.77515910730172488</v>
      </c>
      <c r="D12">
        <v>7.7515910730172489E-5</v>
      </c>
      <c r="E12">
        <v>671.27968248836817</v>
      </c>
      <c r="G12" t="s">
        <v>6</v>
      </c>
      <c r="H12">
        <v>9.4508670000001374</v>
      </c>
      <c r="I12">
        <f>DTDRpat_result0__2[[#This Row],[gap of angle (rad)2]]*10000</f>
        <v>0.8497713770997436</v>
      </c>
      <c r="J12">
        <v>8.4977137709974361E-5</v>
      </c>
      <c r="K12" t="s">
        <v>7</v>
      </c>
      <c r="M12" t="s">
        <v>6</v>
      </c>
      <c r="N12">
        <v>9.4508670000001374</v>
      </c>
      <c r="O12">
        <f>DTDRpat_result0__3[[#This Row],[gap of angle (rad)2]]*10000</f>
        <v>1.0366691796364249</v>
      </c>
      <c r="P12">
        <v>1.036669179636425E-4</v>
      </c>
    </row>
    <row r="13" spans="1:16" x14ac:dyDescent="0.3">
      <c r="A13" t="s">
        <v>6</v>
      </c>
      <c r="B13">
        <v>9.4508670000001374</v>
      </c>
      <c r="C13">
        <f>DTDRpat_result0_1[[#This Row],[gap of angle (rad)2]]*10000</f>
        <v>0.77721965621702371</v>
      </c>
      <c r="D13">
        <v>7.7721965621702373E-5</v>
      </c>
      <c r="E13">
        <v>670.38894869443959</v>
      </c>
      <c r="G13" t="s">
        <v>6</v>
      </c>
      <c r="H13">
        <v>9.4508670000001374</v>
      </c>
      <c r="I13">
        <f>DTDRpat_result0__2[[#This Row],[gap of angle (rad)2]]*10000</f>
        <v>0.85336732022589079</v>
      </c>
      <c r="J13">
        <v>8.5336732022589081E-5</v>
      </c>
      <c r="K13" t="s">
        <v>8</v>
      </c>
      <c r="M13" t="s">
        <v>6</v>
      </c>
      <c r="N13">
        <v>9.4508670000001374</v>
      </c>
      <c r="O13">
        <f>DTDRpat_result0__3[[#This Row],[gap of angle (rad)2]]*10000</f>
        <v>1.0419758410337552</v>
      </c>
      <c r="P13">
        <v>1.0419758410337552E-4</v>
      </c>
    </row>
    <row r="14" spans="1:16" x14ac:dyDescent="0.3">
      <c r="A14" t="s">
        <v>6</v>
      </c>
      <c r="B14">
        <v>11.329767000000343</v>
      </c>
      <c r="C14">
        <f>DTDRpat_result0_1[[#This Row],[gap of angle (rad)2]]*10000</f>
        <v>0.77964114291464504</v>
      </c>
      <c r="D14">
        <v>7.7964114291464504E-5</v>
      </c>
      <c r="E14">
        <v>669.34675040698028</v>
      </c>
      <c r="G14" t="s">
        <v>6</v>
      </c>
      <c r="H14">
        <v>11.329767000000343</v>
      </c>
      <c r="I14">
        <f>DTDRpat_result0__2[[#This Row],[gap of angle (rad)2]]*10000</f>
        <v>0.85349942561556136</v>
      </c>
      <c r="J14">
        <v>8.5349942561556134E-5</v>
      </c>
      <c r="K14" t="s">
        <v>7</v>
      </c>
      <c r="M14" t="s">
        <v>6</v>
      </c>
      <c r="N14">
        <v>11.329767000000343</v>
      </c>
      <c r="O14">
        <f>DTDRpat_result0__3[[#This Row],[gap of angle (rad)2]]*10000</f>
        <v>1.0373856239178083</v>
      </c>
      <c r="P14">
        <v>1.0373856239178084E-4</v>
      </c>
    </row>
    <row r="15" spans="1:16" x14ac:dyDescent="0.3">
      <c r="A15" t="s">
        <v>6</v>
      </c>
      <c r="B15">
        <v>11.329767000000343</v>
      </c>
      <c r="C15">
        <f>DTDRpat_result0_1[[#This Row],[gap of angle (rad)2]]*10000</f>
        <v>0.78212155328387012</v>
      </c>
      <c r="D15">
        <v>7.821215532838701E-5</v>
      </c>
      <c r="E15">
        <v>668.28424345822384</v>
      </c>
      <c r="G15" t="s">
        <v>6</v>
      </c>
      <c r="H15">
        <v>11.329767000000343</v>
      </c>
      <c r="I15">
        <f>DTDRpat_result0__2[[#This Row],[gap of angle (rad)2]]*10000</f>
        <v>0.85781736128912001</v>
      </c>
      <c r="J15">
        <v>8.5781736128912002E-5</v>
      </c>
      <c r="K15" t="s">
        <v>8</v>
      </c>
      <c r="M15" t="s">
        <v>6</v>
      </c>
      <c r="N15">
        <v>11.329767000000343</v>
      </c>
      <c r="O15">
        <f>DTDRpat_result0__3[[#This Row],[gap of angle (rad)2]]*10000</f>
        <v>1.04371191278127</v>
      </c>
      <c r="P15">
        <v>1.04371191278127E-4</v>
      </c>
    </row>
    <row r="16" spans="1:16" x14ac:dyDescent="0.3">
      <c r="A16" t="s">
        <v>6</v>
      </c>
      <c r="B16">
        <v>13.208667000000569</v>
      </c>
      <c r="C16">
        <f>DTDRpat_result0_1[[#This Row],[gap of angle (rad)2]]*10000</f>
        <v>0.78499365275840993</v>
      </c>
      <c r="D16">
        <v>7.8499365275840996E-5</v>
      </c>
      <c r="E16">
        <v>667.06027777263148</v>
      </c>
      <c r="G16" t="s">
        <v>6</v>
      </c>
      <c r="H16">
        <v>13.208667000000569</v>
      </c>
      <c r="I16">
        <f>DTDRpat_result0__2[[#This Row],[gap of angle (rad)2]]*10000</f>
        <v>0.85797362674490429</v>
      </c>
      <c r="J16">
        <v>8.5797362674490434E-5</v>
      </c>
      <c r="K16" t="s">
        <v>7</v>
      </c>
      <c r="M16" t="s">
        <v>6</v>
      </c>
      <c r="N16">
        <v>13.208667000000569</v>
      </c>
      <c r="O16">
        <f>DTDRpat_result0__3[[#This Row],[gap of angle (rad)2]]*10000</f>
        <v>1.0383247062880163</v>
      </c>
      <c r="P16">
        <v>1.0383247062880163E-4</v>
      </c>
    </row>
    <row r="17" spans="1:16" x14ac:dyDescent="0.3">
      <c r="A17" t="s">
        <v>6</v>
      </c>
      <c r="B17">
        <v>13.208667000000569</v>
      </c>
      <c r="C17">
        <f>DTDRpat_result0_1[[#This Row],[gap of angle (rad)2]]*10000</f>
        <v>0.78789919071528991</v>
      </c>
      <c r="D17">
        <v>7.8789919071528986E-5</v>
      </c>
      <c r="E17">
        <v>665.8288899054736</v>
      </c>
      <c r="G17" t="s">
        <v>6</v>
      </c>
      <c r="H17">
        <v>13.208667000000569</v>
      </c>
      <c r="I17">
        <f>DTDRpat_result0__2[[#This Row],[gap of angle (rad)2]]*10000</f>
        <v>0.86301686688944113</v>
      </c>
      <c r="J17">
        <v>8.630168668894411E-5</v>
      </c>
      <c r="K17" t="s">
        <v>8</v>
      </c>
      <c r="M17" t="s">
        <v>6</v>
      </c>
      <c r="N17">
        <v>13.208667000000569</v>
      </c>
      <c r="O17">
        <f>DTDRpat_result0__3[[#This Row],[gap of angle (rad)2]]*10000</f>
        <v>1.0456509957700175</v>
      </c>
      <c r="P17">
        <v>1.0456509957700175E-4</v>
      </c>
    </row>
    <row r="18" spans="1:16" x14ac:dyDescent="0.3">
      <c r="A18" t="s">
        <v>6</v>
      </c>
      <c r="B18">
        <v>15.106356000000735</v>
      </c>
      <c r="C18">
        <f>DTDRpat_result0_1[[#This Row],[gap of angle (rad)2]]*10000</f>
        <v>0.79129479041058948</v>
      </c>
      <c r="D18">
        <v>7.9129479041058944E-5</v>
      </c>
      <c r="E18">
        <v>664.39843444769201</v>
      </c>
      <c r="G18" t="s">
        <v>6</v>
      </c>
      <c r="H18">
        <v>15.106356000000735</v>
      </c>
      <c r="I18">
        <f>DTDRpat_result0__2[[#This Row],[gap of angle (rad)2]]*10000</f>
        <v>0.86325345013965216</v>
      </c>
      <c r="J18">
        <v>8.6325345013965217E-5</v>
      </c>
      <c r="K18" t="s">
        <v>7</v>
      </c>
      <c r="M18" t="s">
        <v>6</v>
      </c>
      <c r="N18">
        <v>15.106356000000735</v>
      </c>
      <c r="O18">
        <f>DTDRpat_result0__3[[#This Row],[gap of angle (rad)2]]*10000</f>
        <v>1.0394962047424534</v>
      </c>
      <c r="P18">
        <v>1.0394962047424535E-4</v>
      </c>
    </row>
    <row r="19" spans="1:16" x14ac:dyDescent="0.3">
      <c r="A19" t="s">
        <v>6</v>
      </c>
      <c r="B19">
        <v>15.106356000000735</v>
      </c>
      <c r="C19">
        <f>DTDRpat_result0_1[[#This Row],[gap of angle (rad)2]]*10000</f>
        <v>0.79463595160548972</v>
      </c>
      <c r="D19">
        <v>7.9463595160548972E-5</v>
      </c>
      <c r="E19">
        <v>662.99991035052926</v>
      </c>
      <c r="G19" t="s">
        <v>6</v>
      </c>
      <c r="H19">
        <v>15.106356000000735</v>
      </c>
      <c r="I19">
        <f>DTDRpat_result0__2[[#This Row],[gap of angle (rad)2]]*10000</f>
        <v>0.86903287219228498</v>
      </c>
      <c r="J19">
        <v>8.6903287219228494E-5</v>
      </c>
      <c r="K19" t="s">
        <v>8</v>
      </c>
      <c r="M19" t="s">
        <v>6</v>
      </c>
      <c r="N19">
        <v>15.106356000000735</v>
      </c>
      <c r="O19">
        <f>DTDRpat_result0__3[[#This Row],[gap of angle (rad)2]]*10000</f>
        <v>1.0478093611158861</v>
      </c>
      <c r="P19">
        <v>1.0478093611158861E-4</v>
      </c>
    </row>
    <row r="20" spans="1:16" x14ac:dyDescent="0.3">
      <c r="A20" t="s">
        <v>6</v>
      </c>
      <c r="B20">
        <v>16.991519000000864</v>
      </c>
      <c r="C20">
        <f>DTDRpat_result0_1[[#This Row],[gap of angle (rad)2]]*10000</f>
        <v>0.79845830764062209</v>
      </c>
      <c r="D20">
        <v>7.9845830764062203E-5</v>
      </c>
      <c r="E20">
        <v>661.41076236685535</v>
      </c>
      <c r="G20" t="s">
        <v>6</v>
      </c>
      <c r="H20">
        <v>16.991519000000864</v>
      </c>
      <c r="I20">
        <f>DTDRpat_result0__2[[#This Row],[gap of angle (rad)2]]*10000</f>
        <v>0.86925935027228796</v>
      </c>
      <c r="J20">
        <v>8.6925935027228792E-5</v>
      </c>
      <c r="K20" t="s">
        <v>7</v>
      </c>
      <c r="M20" t="s">
        <v>6</v>
      </c>
      <c r="N20">
        <v>16.991519000000864</v>
      </c>
      <c r="O20">
        <f>DTDRpat_result0__3[[#This Row],[gap of angle (rad)2]]*10000</f>
        <v>1.0408782583256038</v>
      </c>
      <c r="P20">
        <v>1.0408782583256037E-4</v>
      </c>
    </row>
    <row r="21" spans="1:16" x14ac:dyDescent="0.3">
      <c r="A21" t="s">
        <v>6</v>
      </c>
      <c r="B21">
        <v>16.991519000000864</v>
      </c>
      <c r="C21">
        <f>DTDRpat_result0_1[[#This Row],[gap of angle (rad)2]]*10000</f>
        <v>0.80223905087823977</v>
      </c>
      <c r="D21">
        <v>8.0223905087823977E-5</v>
      </c>
      <c r="E21">
        <v>659.85012174806377</v>
      </c>
      <c r="G21" t="s">
        <v>6</v>
      </c>
      <c r="H21">
        <v>16.991519000000864</v>
      </c>
      <c r="I21">
        <f>DTDRpat_result0__2[[#This Row],[gap of angle (rad)2]]*10000</f>
        <v>0.87577387498000425</v>
      </c>
      <c r="J21">
        <v>8.7577387498000421E-5</v>
      </c>
      <c r="K21" t="s">
        <v>8</v>
      </c>
      <c r="M21" t="s">
        <v>6</v>
      </c>
      <c r="N21">
        <v>16.991519000000864</v>
      </c>
      <c r="O21">
        <f>DTDRpat_result0__3[[#This Row],[gap of angle (rad)2]]*10000</f>
        <v>1.0501453250509518</v>
      </c>
      <c r="P21">
        <v>1.0501453250509519E-4</v>
      </c>
    </row>
    <row r="22" spans="1:16" x14ac:dyDescent="0.3">
      <c r="A22" t="s">
        <v>6</v>
      </c>
      <c r="B22">
        <v>18.920523000001062</v>
      </c>
      <c r="C22">
        <f>DTDRpat_result0_1[[#This Row],[gap of angle (rad)2]]*10000</f>
        <v>0.80673619263485163</v>
      </c>
      <c r="D22">
        <v>8.0673619263485168E-5</v>
      </c>
      <c r="E22">
        <v>658.00806706519461</v>
      </c>
      <c r="G22" t="s">
        <v>6</v>
      </c>
      <c r="H22">
        <v>18.920523000001062</v>
      </c>
      <c r="I22">
        <f>DTDRpat_result0__2[[#This Row],[gap of angle (rad)2]]*10000</f>
        <v>0.87619392975102051</v>
      </c>
      <c r="J22">
        <v>8.7619392975102047E-5</v>
      </c>
      <c r="K22" t="s">
        <v>7</v>
      </c>
      <c r="M22" t="s">
        <v>6</v>
      </c>
      <c r="N22">
        <v>18.920523000001062</v>
      </c>
      <c r="O22">
        <f>DTDRpat_result0__3[[#This Row],[gap of angle (rad)2]]*10000</f>
        <v>1.0425132567676714</v>
      </c>
      <c r="P22">
        <v>1.0425132567676715E-4</v>
      </c>
    </row>
    <row r="23" spans="1:16" x14ac:dyDescent="0.3">
      <c r="A23" t="s">
        <v>6</v>
      </c>
      <c r="B23">
        <v>18.920523000001062</v>
      </c>
      <c r="C23">
        <f>DTDRpat_result0_1[[#This Row],[gap of angle (rad)2]]*10000</f>
        <v>0.81097450295228735</v>
      </c>
      <c r="D23">
        <v>8.109745029522873E-5</v>
      </c>
      <c r="E23">
        <v>656.28610593322605</v>
      </c>
      <c r="G23" t="s">
        <v>6</v>
      </c>
      <c r="H23">
        <v>18.920523000001062</v>
      </c>
      <c r="I23">
        <f>DTDRpat_result0__2[[#This Row],[gap of angle (rad)2]]*10000</f>
        <v>0.88346446310720972</v>
      </c>
      <c r="J23">
        <v>8.8346446310720976E-5</v>
      </c>
      <c r="K23" t="s">
        <v>8</v>
      </c>
      <c r="M23" t="s">
        <v>6</v>
      </c>
      <c r="N23">
        <v>18.920523000001062</v>
      </c>
      <c r="O23">
        <f>DTDRpat_result0__3[[#This Row],[gap of angle (rad)2]]*10000</f>
        <v>1.0527255826262114</v>
      </c>
      <c r="P23">
        <v>1.0527255826262114E-4</v>
      </c>
    </row>
    <row r="24" spans="1:16" x14ac:dyDescent="0.3">
      <c r="A24" t="s">
        <v>6</v>
      </c>
      <c r="B24">
        <v>20.830738000001276</v>
      </c>
      <c r="C24">
        <f>DTDRpat_result0_1[[#This Row],[gap of angle (rad)2]]*10000</f>
        <v>0.81589476259946803</v>
      </c>
      <c r="D24">
        <v>8.1589476259946798E-5</v>
      </c>
      <c r="E24">
        <v>654.30393557257582</v>
      </c>
      <c r="G24" t="s">
        <v>6</v>
      </c>
      <c r="H24">
        <v>20.830738000001276</v>
      </c>
      <c r="I24">
        <f>DTDRpat_result0__2[[#This Row],[gap of angle (rad)2]]*10000</f>
        <v>0.88385149543329522</v>
      </c>
      <c r="J24">
        <v>8.8385149543329517E-5</v>
      </c>
      <c r="K24" t="s">
        <v>7</v>
      </c>
      <c r="M24" t="s">
        <v>6</v>
      </c>
      <c r="N24">
        <v>20.830738000001276</v>
      </c>
      <c r="O24">
        <f>DTDRpat_result0__3[[#This Row],[gap of angle (rad)2]]*10000</f>
        <v>1.0443471997177136</v>
      </c>
      <c r="P24">
        <v>1.0443471997177135E-4</v>
      </c>
    </row>
    <row r="25" spans="1:16" x14ac:dyDescent="0.3">
      <c r="A25" t="s">
        <v>6</v>
      </c>
      <c r="B25">
        <v>20.830738000001276</v>
      </c>
      <c r="C25">
        <f>DTDRpat_result0_1[[#This Row],[gap of angle (rad)2]]*10000</f>
        <v>0.82059448660373957</v>
      </c>
      <c r="D25">
        <v>8.2059448660373957E-5</v>
      </c>
      <c r="E25">
        <v>652.42730699282299</v>
      </c>
      <c r="G25" t="s">
        <v>6</v>
      </c>
      <c r="H25">
        <v>20.830738000001276</v>
      </c>
      <c r="I25">
        <f>DTDRpat_result0__2[[#This Row],[gap of angle (rad)2]]*10000</f>
        <v>0.8918740963617956</v>
      </c>
      <c r="J25">
        <v>8.9187409636179562E-5</v>
      </c>
      <c r="K25" t="s">
        <v>8</v>
      </c>
      <c r="M25" t="s">
        <v>6</v>
      </c>
      <c r="N25">
        <v>20.830738000001276</v>
      </c>
      <c r="O25">
        <f>DTDRpat_result0__3[[#This Row],[gap of angle (rad)2]]*10000</f>
        <v>1.0554611973230257</v>
      </c>
      <c r="P25">
        <v>1.0554611973230256E-4</v>
      </c>
    </row>
    <row r="26" spans="1:16" x14ac:dyDescent="0.3">
      <c r="A26" t="s">
        <v>6</v>
      </c>
      <c r="B26">
        <v>22.734690000001489</v>
      </c>
      <c r="C26">
        <f>DTDRpat_result0_1[[#This Row],[gap of angle (rad)2]]*10000</f>
        <v>0.82599281744181885</v>
      </c>
      <c r="D26">
        <v>8.2599281744181885E-5</v>
      </c>
      <c r="E26">
        <v>650.29153170838435</v>
      </c>
      <c r="G26" t="s">
        <v>6</v>
      </c>
      <c r="H26">
        <v>22.734690000001489</v>
      </c>
      <c r="I26">
        <f>DTDRpat_result0__2[[#This Row],[gap of angle (rad)2]]*10000</f>
        <v>0.89227024714715431</v>
      </c>
      <c r="J26">
        <v>8.9227024714715427E-5</v>
      </c>
      <c r="K26" t="s">
        <v>7</v>
      </c>
      <c r="M26" t="s">
        <v>6</v>
      </c>
      <c r="N26">
        <v>22.734690000001489</v>
      </c>
      <c r="O26">
        <f>DTDRpat_result0__3[[#This Row],[gap of angle (rad)2]]*10000</f>
        <v>1.0463818846463524</v>
      </c>
      <c r="P26">
        <v>1.0463818846463524E-4</v>
      </c>
    </row>
    <row r="27" spans="1:16" x14ac:dyDescent="0.3">
      <c r="A27" t="s">
        <v>6</v>
      </c>
      <c r="B27">
        <v>22.734690000001489</v>
      </c>
      <c r="C27">
        <f>DTDRpat_result0_1[[#This Row],[gap of angle (rad)2]]*10000</f>
        <v>0.83116113899558752</v>
      </c>
      <c r="D27">
        <v>8.3116113899558752E-5</v>
      </c>
      <c r="E27">
        <v>648.26630773431327</v>
      </c>
      <c r="G27" t="s">
        <v>6</v>
      </c>
      <c r="H27">
        <v>22.734690000001489</v>
      </c>
      <c r="I27">
        <f>DTDRpat_result0__2[[#This Row],[gap of angle (rad)2]]*10000</f>
        <v>0.90104534689480142</v>
      </c>
      <c r="J27">
        <v>9.0104534689480141E-5</v>
      </c>
      <c r="K27" t="s">
        <v>8</v>
      </c>
      <c r="M27" t="s">
        <v>6</v>
      </c>
      <c r="N27">
        <v>22.734690000001489</v>
      </c>
      <c r="O27">
        <f>DTDRpat_result0__3[[#This Row],[gap of angle (rad)2]]*10000</f>
        <v>1.0583570801688083</v>
      </c>
      <c r="P27">
        <v>1.0583570801688083E-4</v>
      </c>
    </row>
    <row r="28" spans="1:16" x14ac:dyDescent="0.3">
      <c r="A28" t="s">
        <v>6</v>
      </c>
      <c r="B28">
        <v>24.632379000001709</v>
      </c>
      <c r="C28">
        <f>DTDRpat_result0_1[[#This Row],[gap of angle (rad)2]]*10000</f>
        <v>0.83703903788638334</v>
      </c>
      <c r="D28">
        <v>8.3703903788638338E-5</v>
      </c>
      <c r="E28">
        <v>645.98588081019079</v>
      </c>
      <c r="G28" t="s">
        <v>6</v>
      </c>
      <c r="H28">
        <v>24.632379000001709</v>
      </c>
      <c r="I28">
        <f>DTDRpat_result0__2[[#This Row],[gap of angle (rad)2]]*10000</f>
        <v>0.90144552195950722</v>
      </c>
      <c r="J28">
        <v>9.0144552195950718E-5</v>
      </c>
      <c r="K28" t="s">
        <v>7</v>
      </c>
      <c r="M28" t="s">
        <v>6</v>
      </c>
      <c r="N28">
        <v>24.632379000001709</v>
      </c>
      <c r="O28">
        <f>DTDRpat_result0__3[[#This Row],[gap of angle (rad)2]]*10000</f>
        <v>1.0486087317428938</v>
      </c>
      <c r="P28">
        <v>1.0486087317428938E-4</v>
      </c>
    </row>
    <row r="29" spans="1:16" x14ac:dyDescent="0.3">
      <c r="A29" t="s">
        <v>6</v>
      </c>
      <c r="B29">
        <v>24.632379000001709</v>
      </c>
      <c r="C29">
        <f>DTDRpat_result0_1[[#This Row],[gap of angle (rad)2]]*10000</f>
        <v>0.84268320824221477</v>
      </c>
      <c r="D29">
        <v>8.4268320824221478E-5</v>
      </c>
      <c r="E29">
        <v>643.81861152339513</v>
      </c>
      <c r="G29" t="s">
        <v>6</v>
      </c>
      <c r="H29">
        <v>24.632379000001709</v>
      </c>
      <c r="I29">
        <f>DTDRpat_result0__2[[#This Row],[gap of angle (rad)2]]*10000</f>
        <v>0.91097262744076613</v>
      </c>
      <c r="J29">
        <v>9.1097262744076616E-5</v>
      </c>
      <c r="K29" t="s">
        <v>8</v>
      </c>
      <c r="M29" t="s">
        <v>6</v>
      </c>
      <c r="N29">
        <v>24.632379000001709</v>
      </c>
      <c r="O29">
        <f>DTDRpat_result0__3[[#This Row],[gap of angle (rad)2]]*10000</f>
        <v>1.0614013757698644</v>
      </c>
      <c r="P29">
        <v>1.0614013757698645E-4</v>
      </c>
    </row>
    <row r="30" spans="1:16" x14ac:dyDescent="0.3">
      <c r="A30" t="s">
        <v>6</v>
      </c>
      <c r="B30">
        <v>26.530068000001961</v>
      </c>
      <c r="C30">
        <f>DTDRpat_result0_1[[#This Row],[gap of angle (rad)2]]*10000</f>
        <v>0.84908358128755057</v>
      </c>
      <c r="D30">
        <v>8.4908358128755053E-5</v>
      </c>
      <c r="E30">
        <v>641.38722637376043</v>
      </c>
      <c r="G30" t="s">
        <v>6</v>
      </c>
      <c r="H30">
        <v>26.530068000001961</v>
      </c>
      <c r="I30">
        <f>DTDRpat_result0__2[[#This Row],[gap of angle (rad)2]]*10000</f>
        <v>0.91140570729569748</v>
      </c>
      <c r="J30">
        <v>9.1140570729569749E-5</v>
      </c>
      <c r="K30" t="s">
        <v>7</v>
      </c>
      <c r="M30" t="s">
        <v>6</v>
      </c>
      <c r="N30">
        <v>26.530068000001961</v>
      </c>
      <c r="O30">
        <f>DTDRpat_result0__3[[#This Row],[gap of angle (rad)2]]*10000</f>
        <v>1.0510266885972837</v>
      </c>
      <c r="P30">
        <v>1.0510266885972837E-4</v>
      </c>
    </row>
    <row r="31" spans="1:16" x14ac:dyDescent="0.3">
      <c r="A31" t="s">
        <v>6</v>
      </c>
      <c r="B31">
        <v>26.530068000001961</v>
      </c>
      <c r="C31">
        <f>DTDRpat_result0_1[[#This Row],[gap of angle (rad)2]]*10000</f>
        <v>0.85521266688525266</v>
      </c>
      <c r="D31">
        <v>8.5521266688525264E-5</v>
      </c>
      <c r="E31">
        <v>639.08450049682995</v>
      </c>
      <c r="G31" t="s">
        <v>6</v>
      </c>
      <c r="H31">
        <v>26.530068000001961</v>
      </c>
      <c r="I31">
        <f>DTDRpat_result0__2[[#This Row],[gap of angle (rad)2]]*10000</f>
        <v>0.92168569034211723</v>
      </c>
      <c r="J31">
        <v>9.2168569034211721E-5</v>
      </c>
      <c r="K31" t="s">
        <v>8</v>
      </c>
      <c r="M31" t="s">
        <v>6</v>
      </c>
      <c r="N31">
        <v>26.530068000001961</v>
      </c>
      <c r="O31">
        <f>DTDRpat_result0__3[[#This Row],[gap of angle (rad)2]]*10000</f>
        <v>1.0645925084995465</v>
      </c>
      <c r="P31">
        <v>1.0645925084995464E-4</v>
      </c>
    </row>
    <row r="32" spans="1:16" x14ac:dyDescent="0.3">
      <c r="A32" t="s">
        <v>6</v>
      </c>
      <c r="B32">
        <v>28.408968000002208</v>
      </c>
      <c r="C32">
        <f>DTDRpat_result0_1[[#This Row],[gap of angle (rad)2]]*10000</f>
        <v>0.86201084721670607</v>
      </c>
      <c r="D32">
        <v>8.6201084721670607E-5</v>
      </c>
      <c r="E32">
        <v>636.55922877422756</v>
      </c>
      <c r="G32" t="s">
        <v>6</v>
      </c>
      <c r="H32">
        <v>28.408968000002208</v>
      </c>
      <c r="I32">
        <f>DTDRpat_result0__2[[#This Row],[gap of angle (rad)2]]*10000</f>
        <v>0.9220414117228799</v>
      </c>
      <c r="J32">
        <v>9.2204141172287985E-5</v>
      </c>
      <c r="K32" t="s">
        <v>7</v>
      </c>
      <c r="M32" t="s">
        <v>6</v>
      </c>
      <c r="N32">
        <v>28.408968000002208</v>
      </c>
      <c r="O32">
        <f>DTDRpat_result0__3[[#This Row],[gap of angle (rad)2]]*10000</f>
        <v>1.053601025882523</v>
      </c>
      <c r="P32">
        <v>1.053601025882523E-4</v>
      </c>
    </row>
    <row r="33" spans="1:16" x14ac:dyDescent="0.3">
      <c r="A33" t="s">
        <v>6</v>
      </c>
      <c r="B33">
        <v>28.408968000002208</v>
      </c>
      <c r="C33">
        <f>DTDRpat_result0_1[[#This Row],[gap of angle (rad)2]]*10000</f>
        <v>0.86862883334228347</v>
      </c>
      <c r="D33">
        <v>8.686288333422835E-5</v>
      </c>
      <c r="E33">
        <v>634.12941246499338</v>
      </c>
      <c r="G33" t="s">
        <v>6</v>
      </c>
      <c r="H33">
        <v>28.408968000002208</v>
      </c>
      <c r="I33">
        <f>DTDRpat_result0__2[[#This Row],[gap of angle (rad)2]]*10000</f>
        <v>0.93306608351441045</v>
      </c>
      <c r="J33">
        <v>9.3306608351441045E-5</v>
      </c>
      <c r="K33" t="s">
        <v>8</v>
      </c>
      <c r="M33" t="s">
        <v>6</v>
      </c>
      <c r="N33">
        <v>28.408968000002208</v>
      </c>
      <c r="O33">
        <f>DTDRpat_result0__3[[#This Row],[gap of angle (rad)2]]*10000</f>
        <v>1.067885185905761</v>
      </c>
      <c r="P33">
        <v>1.067885185905761E-4</v>
      </c>
    </row>
    <row r="34" spans="1:16" x14ac:dyDescent="0.3">
      <c r="A34" t="s">
        <v>6</v>
      </c>
      <c r="B34">
        <v>30.300394000002274</v>
      </c>
      <c r="C34">
        <f>DTDRpat_result0_1[[#This Row],[gap of angle (rad)2]]*10000</f>
        <v>0.87604939270330795</v>
      </c>
      <c r="D34">
        <v>8.7604939270330794E-5</v>
      </c>
      <c r="E34">
        <v>631.43776068939167</v>
      </c>
      <c r="G34" t="s">
        <v>6</v>
      </c>
      <c r="H34">
        <v>30.300394000002274</v>
      </c>
      <c r="I34">
        <f>DTDRpat_result0__2[[#This Row],[gap of angle (rad)2]]*10000</f>
        <v>0.93352528235184762</v>
      </c>
      <c r="J34">
        <v>9.3352528235184757E-5</v>
      </c>
      <c r="K34" t="s">
        <v>7</v>
      </c>
      <c r="M34" t="s">
        <v>6</v>
      </c>
      <c r="N34">
        <v>30.300394000002274</v>
      </c>
      <c r="O34">
        <f>DTDRpat_result0__3[[#This Row],[gap of angle (rad)2]]*10000</f>
        <v>1.0563651151598308</v>
      </c>
      <c r="P34">
        <v>1.0563651151598307E-4</v>
      </c>
    </row>
    <row r="35" spans="1:16" x14ac:dyDescent="0.3">
      <c r="A35" t="s">
        <v>6</v>
      </c>
      <c r="B35">
        <v>30.300394000002274</v>
      </c>
      <c r="C35">
        <f>DTDRpat_result0_1[[#This Row],[gap of angle (rad)2]]*10000</f>
        <v>0.88316792725745508</v>
      </c>
      <c r="D35">
        <v>8.8316792725745506E-5</v>
      </c>
      <c r="E35">
        <v>628.88760940861596</v>
      </c>
      <c r="G35" t="s">
        <v>6</v>
      </c>
      <c r="H35">
        <v>30.300394000002274</v>
      </c>
      <c r="I35">
        <f>DTDRpat_result0__2[[#This Row],[gap of angle (rad)2]]*10000</f>
        <v>0.94529693457348496</v>
      </c>
      <c r="J35">
        <v>9.4529693457348499E-5</v>
      </c>
      <c r="K35" t="s">
        <v>8</v>
      </c>
      <c r="M35" t="s">
        <v>6</v>
      </c>
      <c r="N35">
        <v>30.300394000002274</v>
      </c>
      <c r="O35">
        <f>DTDRpat_result0__3[[#This Row],[gap of angle (rad)2]]*10000</f>
        <v>1.0713215209198903</v>
      </c>
      <c r="P35">
        <v>1.0713215209198903E-4</v>
      </c>
    </row>
    <row r="36" spans="1:16" x14ac:dyDescent="0.3">
      <c r="A36" t="s">
        <v>6</v>
      </c>
      <c r="B36">
        <v>32.191820000002224</v>
      </c>
      <c r="C36">
        <f>DTDRpat_result0_1[[#This Row],[gap of angle (rad)2]]*10000</f>
        <v>0.89113370600026121</v>
      </c>
      <c r="D36">
        <v>8.9113370600026116E-5</v>
      </c>
      <c r="E36">
        <v>626.07027213583183</v>
      </c>
      <c r="G36" t="s">
        <v>6</v>
      </c>
      <c r="H36">
        <v>32.191820000002224</v>
      </c>
      <c r="I36">
        <f>DTDRpat_result0__2[[#This Row],[gap of angle (rad)2]]*10000</f>
        <v>0.94578610401294438</v>
      </c>
      <c r="J36">
        <v>9.4578610401294439E-5</v>
      </c>
      <c r="K36" t="s">
        <v>7</v>
      </c>
      <c r="M36" t="s">
        <v>6</v>
      </c>
      <c r="N36">
        <v>32.191820000002224</v>
      </c>
      <c r="O36">
        <f>DTDRpat_result0__3[[#This Row],[gap of angle (rad)2]]*10000</f>
        <v>1.059292726195302</v>
      </c>
      <c r="P36">
        <v>1.059292726195302E-4</v>
      </c>
    </row>
    <row r="37" spans="1:16" x14ac:dyDescent="0.3">
      <c r="A37" t="s">
        <v>6</v>
      </c>
      <c r="B37">
        <v>32.191820000002224</v>
      </c>
      <c r="C37">
        <f>DTDRpat_result0_1[[#This Row],[gap of angle (rad)2]]*10000</f>
        <v>0.8987606317127026</v>
      </c>
      <c r="D37">
        <v>8.9876063171270262E-5</v>
      </c>
      <c r="E37">
        <v>623.40796430683554</v>
      </c>
      <c r="G37" t="s">
        <v>6</v>
      </c>
      <c r="H37">
        <v>32.191820000002224</v>
      </c>
      <c r="I37">
        <f>DTDRpat_result0__2[[#This Row],[gap of angle (rad)2]]*10000</f>
        <v>0.95829964321334693</v>
      </c>
      <c r="J37">
        <v>9.5829964321334692E-5</v>
      </c>
      <c r="K37" t="s">
        <v>8</v>
      </c>
      <c r="M37" t="s">
        <v>6</v>
      </c>
      <c r="N37">
        <v>32.191820000002224</v>
      </c>
      <c r="O37">
        <f>DTDRpat_result0__3[[#This Row],[gap of angle (rad)2]]*10000</f>
        <v>1.0748669700748861</v>
      </c>
      <c r="P37">
        <v>1.074866970074886E-4</v>
      </c>
    </row>
    <row r="38" spans="1:16" x14ac:dyDescent="0.3">
      <c r="A38" t="s">
        <v>6</v>
      </c>
      <c r="B38">
        <v>34.083246000001388</v>
      </c>
      <c r="C38">
        <f>DTDRpat_result0_1[[#This Row],[gap of angle (rad)2]]*10000</f>
        <v>0.90727956574925894</v>
      </c>
      <c r="D38">
        <v>9.0727956574925892E-5</v>
      </c>
      <c r="E38">
        <v>620.47407951298453</v>
      </c>
      <c r="G38" t="s">
        <v>6</v>
      </c>
      <c r="H38">
        <v>34.083246000001388</v>
      </c>
      <c r="I38">
        <f>DTDRpat_result0__2[[#This Row],[gap of angle (rad)2]]*10000</f>
        <v>0.95881859558582738</v>
      </c>
      <c r="J38">
        <v>9.5881859558582744E-5</v>
      </c>
      <c r="K38" t="s">
        <v>7</v>
      </c>
      <c r="M38" t="s">
        <v>6</v>
      </c>
      <c r="N38">
        <v>34.083246000001388</v>
      </c>
      <c r="O38">
        <f>DTDRpat_result0__3[[#This Row],[gap of angle (rad)2]]*10000</f>
        <v>1.0623737079370164</v>
      </c>
      <c r="P38">
        <v>1.0623737079370163E-4</v>
      </c>
    </row>
    <row r="39" spans="1:16" x14ac:dyDescent="0.3">
      <c r="A39" t="s">
        <v>6</v>
      </c>
      <c r="B39">
        <v>34.083246000001388</v>
      </c>
      <c r="C39">
        <f>DTDRpat_result0_1[[#This Row],[gap of angle (rad)2]]*10000</f>
        <v>0.91542160617285817</v>
      </c>
      <c r="D39">
        <v>9.1542160617285814E-5</v>
      </c>
      <c r="E39">
        <v>617.70835146499803</v>
      </c>
      <c r="G39" t="s">
        <v>6</v>
      </c>
      <c r="H39">
        <v>34.083246000001388</v>
      </c>
      <c r="I39">
        <f>DTDRpat_result0__2[[#This Row],[gap of angle (rad)2]]*10000</f>
        <v>0.97206590674999449</v>
      </c>
      <c r="J39">
        <v>9.7206590674999449E-5</v>
      </c>
      <c r="K39" t="s">
        <v>8</v>
      </c>
      <c r="M39" t="s">
        <v>6</v>
      </c>
      <c r="N39">
        <v>34.083246000001388</v>
      </c>
      <c r="O39">
        <f>DTDRpat_result0__3[[#This Row],[gap of angle (rad)2]]*10000</f>
        <v>1.0785079088978322</v>
      </c>
      <c r="P39">
        <v>1.0785079088978322E-4</v>
      </c>
    </row>
    <row r="40" spans="1:16" x14ac:dyDescent="0.3">
      <c r="A40" t="s">
        <v>6</v>
      </c>
      <c r="B40">
        <v>35.962146000000565</v>
      </c>
      <c r="C40">
        <f>DTDRpat_result0_1[[#This Row],[gap of angle (rad)2]]*10000</f>
        <v>0.92438274668756681</v>
      </c>
      <c r="D40">
        <v>9.2438274668756677E-5</v>
      </c>
      <c r="E40">
        <v>614.70676539290537</v>
      </c>
      <c r="G40" t="s">
        <v>6</v>
      </c>
      <c r="H40">
        <v>35.962146000000565</v>
      </c>
      <c r="I40">
        <f>DTDRpat_result0__2[[#This Row],[gap of angle (rad)2]]*10000</f>
        <v>0.97252036718758905</v>
      </c>
      <c r="J40">
        <v>9.7252036718758903E-5</v>
      </c>
      <c r="K40" t="s">
        <v>7</v>
      </c>
      <c r="M40" t="s">
        <v>6</v>
      </c>
      <c r="N40">
        <v>35.962146000000565</v>
      </c>
      <c r="O40">
        <f>DTDRpat_result0__3[[#This Row],[gap of angle (rad)2]]*10000</f>
        <v>1.0655752338897364</v>
      </c>
      <c r="P40">
        <v>1.0655752338897363E-4</v>
      </c>
    </row>
    <row r="41" spans="1:16" x14ac:dyDescent="0.3">
      <c r="A41" t="s">
        <v>6</v>
      </c>
      <c r="B41">
        <v>35.962146000000565</v>
      </c>
      <c r="C41">
        <f>DTDRpat_result0_1[[#This Row],[gap of angle (rad)2]]*10000</f>
        <v>0.93304190513670637</v>
      </c>
      <c r="D41">
        <v>9.3304190513670635E-5</v>
      </c>
      <c r="E41">
        <v>611.84750844631503</v>
      </c>
      <c r="G41" t="s">
        <v>6</v>
      </c>
      <c r="H41">
        <v>35.962146000000565</v>
      </c>
      <c r="I41">
        <f>DTDRpat_result0__2[[#This Row],[gap of angle (rad)2]]*10000</f>
        <v>0.98648517648010392</v>
      </c>
      <c r="J41">
        <v>9.8648517648010389E-5</v>
      </c>
      <c r="K41" t="s">
        <v>8</v>
      </c>
      <c r="M41" t="s">
        <v>6</v>
      </c>
      <c r="N41">
        <v>35.962146000000565</v>
      </c>
      <c r="O41">
        <f>DTDRpat_result0__3[[#This Row],[gap of angle (rad)2]]*10000</f>
        <v>1.0822051394044137</v>
      </c>
      <c r="P41">
        <v>1.0822051394044137E-4</v>
      </c>
    </row>
    <row r="42" spans="1:16" x14ac:dyDescent="0.3">
      <c r="A42" t="s">
        <v>6</v>
      </c>
      <c r="B42">
        <v>37.841045999999736</v>
      </c>
      <c r="C42">
        <f>DTDRpat_result0_1[[#This Row],[gap of angle (rad)2]]*10000</f>
        <v>0.94255675294783459</v>
      </c>
      <c r="D42">
        <v>9.4255675294783455E-5</v>
      </c>
      <c r="E42">
        <v>608.75126500878923</v>
      </c>
      <c r="G42" t="s">
        <v>6</v>
      </c>
      <c r="H42">
        <v>37.841045999999736</v>
      </c>
      <c r="I42">
        <f>DTDRpat_result0__2[[#This Row],[gap of angle (rad)2]]*10000</f>
        <v>0.98696335837911631</v>
      </c>
      <c r="J42">
        <v>9.869633583791163E-5</v>
      </c>
      <c r="K42" t="s">
        <v>7</v>
      </c>
      <c r="M42" t="s">
        <v>6</v>
      </c>
      <c r="N42">
        <v>37.841045999999736</v>
      </c>
      <c r="O42">
        <f>DTDRpat_result0__3[[#This Row],[gap of angle (rad)2]]*10000</f>
        <v>1.0689056830814385</v>
      </c>
      <c r="P42">
        <v>1.0689056830814385E-4</v>
      </c>
    </row>
    <row r="43" spans="1:16" x14ac:dyDescent="0.3">
      <c r="A43" t="s">
        <v>6</v>
      </c>
      <c r="B43">
        <v>37.841045999999736</v>
      </c>
      <c r="C43">
        <f>DTDRpat_result0_1[[#This Row],[gap of angle (rad)2]]*10000</f>
        <v>0.95173641923541985</v>
      </c>
      <c r="D43">
        <v>9.5173641923541983E-5</v>
      </c>
      <c r="E43">
        <v>605.80821308831514</v>
      </c>
      <c r="G43" t="s">
        <v>6</v>
      </c>
      <c r="H43">
        <v>37.841045999999736</v>
      </c>
      <c r="I43">
        <f>DTDRpat_result0__2[[#This Row],[gap of angle (rad)2]]*10000</f>
        <v>1.0016300860139835</v>
      </c>
      <c r="J43">
        <v>1.0016300860139836E-4</v>
      </c>
      <c r="K43" t="s">
        <v>8</v>
      </c>
      <c r="M43" t="s">
        <v>6</v>
      </c>
      <c r="N43">
        <v>37.841045999999736</v>
      </c>
      <c r="O43">
        <f>DTDRpat_result0__3[[#This Row],[gap of angle (rad)2]]*10000</f>
        <v>1.0859677682033451</v>
      </c>
      <c r="P43">
        <v>1.085967768203345E-4</v>
      </c>
    </row>
    <row r="44" spans="1:16" x14ac:dyDescent="0.3">
      <c r="A44" t="s">
        <v>6</v>
      </c>
      <c r="B44">
        <v>39.732471999998907</v>
      </c>
      <c r="C44">
        <f>DTDRpat_result0_1[[#This Row],[gap of angle (rad)2]]*10000</f>
        <v>0.96193942627063078</v>
      </c>
      <c r="D44">
        <v>9.6193942627063081E-5</v>
      </c>
      <c r="E44">
        <v>602.58665771546157</v>
      </c>
      <c r="G44" t="s">
        <v>6</v>
      </c>
      <c r="H44">
        <v>39.732471999998907</v>
      </c>
      <c r="I44">
        <f>DTDRpat_result0__2[[#This Row],[gap of angle (rad)2]]*10000</f>
        <v>1.0022349323818198</v>
      </c>
      <c r="J44">
        <v>1.0022349323818199E-4</v>
      </c>
      <c r="K44" t="s">
        <v>7</v>
      </c>
      <c r="M44" t="s">
        <v>6</v>
      </c>
      <c r="N44">
        <v>39.732471999998907</v>
      </c>
      <c r="O44">
        <f>DTDRpat_result0__3[[#This Row],[gap of angle (rad)2]]*10000</f>
        <v>1.0723761640177025</v>
      </c>
      <c r="P44">
        <v>1.0723761640177025E-4</v>
      </c>
    </row>
    <row r="45" spans="1:16" x14ac:dyDescent="0.3">
      <c r="A45" t="s">
        <v>6</v>
      </c>
      <c r="B45">
        <v>39.732471999998907</v>
      </c>
      <c r="C45">
        <f>DTDRpat_result0_1[[#This Row],[gap of angle (rad)2]]*10000</f>
        <v>0.97164410756698028</v>
      </c>
      <c r="D45">
        <v>9.716441075669803E-5</v>
      </c>
      <c r="E45">
        <v>599.56965044508888</v>
      </c>
      <c r="G45" t="s">
        <v>6</v>
      </c>
      <c r="H45">
        <v>39.732471999998907</v>
      </c>
      <c r="I45">
        <f>DTDRpat_result0__2[[#This Row],[gap of angle (rad)2]]*10000</f>
        <v>1.0175878170131476</v>
      </c>
      <c r="J45">
        <v>1.0175878170131476E-4</v>
      </c>
      <c r="K45" t="s">
        <v>8</v>
      </c>
      <c r="M45" t="s">
        <v>6</v>
      </c>
      <c r="N45">
        <v>39.732471999998907</v>
      </c>
      <c r="O45">
        <f>DTDRpat_result0__3[[#This Row],[gap of angle (rad)2]]*10000</f>
        <v>1.0898061712362188</v>
      </c>
      <c r="P45">
        <v>1.0898061712362189E-4</v>
      </c>
    </row>
    <row r="46" spans="1:16" x14ac:dyDescent="0.3">
      <c r="A46" t="s">
        <v>6</v>
      </c>
      <c r="B46">
        <v>41.623897999998071</v>
      </c>
      <c r="C46">
        <f>DTDRpat_result0_1[[#This Row],[gap of angle (rad)2]]*10000</f>
        <v>0.98241374750127086</v>
      </c>
      <c r="D46">
        <v>9.8241374750127086E-5</v>
      </c>
      <c r="E46">
        <v>596.27405017378271</v>
      </c>
      <c r="G46" t="s">
        <v>6</v>
      </c>
      <c r="H46">
        <v>41.623897999998071</v>
      </c>
      <c r="I46">
        <f>DTDRpat_result0__2[[#This Row],[gap of angle (rad)2]]*10000</f>
        <v>1.0182197768562546</v>
      </c>
      <c r="J46">
        <v>1.0182197768562546E-4</v>
      </c>
      <c r="K46" t="s">
        <v>7</v>
      </c>
      <c r="M46" t="s">
        <v>6</v>
      </c>
      <c r="N46">
        <v>41.623897999998071</v>
      </c>
      <c r="O46">
        <f>DTDRpat_result0__3[[#This Row],[gap of angle (rad)2]]*10000</f>
        <v>1.0759518076939767</v>
      </c>
      <c r="P46">
        <v>1.0759518076939768E-4</v>
      </c>
    </row>
    <row r="47" spans="1:16" x14ac:dyDescent="0.3">
      <c r="A47" t="s">
        <v>6</v>
      </c>
      <c r="B47">
        <v>41.623897999998071</v>
      </c>
      <c r="C47">
        <f>DTDRpat_result0_1[[#This Row],[gap of angle (rad)2]]*10000</f>
        <v>0.99264144331994997</v>
      </c>
      <c r="D47">
        <v>9.9264144331994995E-5</v>
      </c>
      <c r="E47">
        <v>593.19409141348012</v>
      </c>
      <c r="G47" t="s">
        <v>6</v>
      </c>
      <c r="H47">
        <v>41.623897999998071</v>
      </c>
      <c r="I47">
        <f>DTDRpat_result0__2[[#This Row],[gap of angle (rad)2]]*10000</f>
        <v>1.0342327599858503</v>
      </c>
      <c r="J47">
        <v>1.0342327599858502E-4</v>
      </c>
      <c r="K47" t="s">
        <v>8</v>
      </c>
      <c r="M47" t="s">
        <v>6</v>
      </c>
      <c r="N47">
        <v>41.623897999998071</v>
      </c>
      <c r="O47">
        <f>DTDRpat_result0__3[[#This Row],[gap of angle (rad)2]]*10000</f>
        <v>1.0936792915324052</v>
      </c>
      <c r="P47">
        <v>1.0936792915324051E-4</v>
      </c>
    </row>
    <row r="48" spans="1:16" x14ac:dyDescent="0.3">
      <c r="A48" t="s">
        <v>6</v>
      </c>
      <c r="B48">
        <v>43.515323999997243</v>
      </c>
      <c r="C48">
        <f>DTDRpat_result0_1[[#This Row],[gap of angle (rad)2]]*10000</f>
        <v>1.0039736398000254</v>
      </c>
      <c r="D48">
        <v>1.0039736398000253E-4</v>
      </c>
      <c r="E48">
        <v>589.83664549326966</v>
      </c>
      <c r="G48" t="s">
        <v>6</v>
      </c>
      <c r="H48">
        <v>43.515323999997243</v>
      </c>
      <c r="I48">
        <f>DTDRpat_result0__2[[#This Row],[gap of angle (rad)2]]*10000</f>
        <v>1.0348907304235335</v>
      </c>
      <c r="J48">
        <v>1.0348907304235335E-4</v>
      </c>
      <c r="K48" t="s">
        <v>7</v>
      </c>
      <c r="M48" t="s">
        <v>6</v>
      </c>
      <c r="N48">
        <v>43.515323999997243</v>
      </c>
      <c r="O48">
        <f>DTDRpat_result0__3[[#This Row],[gap of angle (rad)2]]*10000</f>
        <v>1.0796186944097708</v>
      </c>
      <c r="P48">
        <v>1.0796186944097708E-4</v>
      </c>
    </row>
    <row r="49" spans="1:16" x14ac:dyDescent="0.3">
      <c r="A49" t="s">
        <v>6</v>
      </c>
      <c r="B49">
        <v>43.515323999997243</v>
      </c>
      <c r="C49">
        <f>DTDRpat_result0_1[[#This Row],[gap of angle (rad)2]]*10000</f>
        <v>1.0147184869236126</v>
      </c>
      <c r="D49">
        <v>1.0147184869236127E-4</v>
      </c>
      <c r="E49">
        <v>586.70530996125331</v>
      </c>
      <c r="G49" t="s">
        <v>6</v>
      </c>
      <c r="H49">
        <v>43.515323999997243</v>
      </c>
      <c r="I49">
        <f>DTDRpat_result0__2[[#This Row],[gap of angle (rad)2]]*10000</f>
        <v>1.0515314683585781</v>
      </c>
      <c r="J49">
        <v>1.051531468358578E-4</v>
      </c>
      <c r="K49" t="s">
        <v>8</v>
      </c>
      <c r="M49" t="s">
        <v>6</v>
      </c>
      <c r="N49">
        <v>43.515323999997243</v>
      </c>
      <c r="O49">
        <f>DTDRpat_result0__3[[#This Row],[gap of angle (rad)2]]*10000</f>
        <v>1.0975705266652467</v>
      </c>
      <c r="P49">
        <v>1.0975705266652468E-4</v>
      </c>
    </row>
    <row r="50" spans="1:16" x14ac:dyDescent="0.3">
      <c r="A50" t="s">
        <v>6</v>
      </c>
      <c r="B50">
        <v>45.394223999996413</v>
      </c>
      <c r="C50">
        <f>DTDRpat_result0_1[[#This Row],[gap of angle (rad)2]]*10000</f>
        <v>1.0264512251383444</v>
      </c>
      <c r="D50">
        <v>1.0264512251383445E-4</v>
      </c>
      <c r="E50">
        <v>583.34240421684763</v>
      </c>
      <c r="G50" t="s">
        <v>6</v>
      </c>
      <c r="H50">
        <v>45.394223999996413</v>
      </c>
      <c r="I50">
        <f>DTDRpat_result0__2[[#This Row],[gap of angle (rad)2]]*10000</f>
        <v>1.0520971698499035</v>
      </c>
      <c r="J50">
        <v>1.0520971698499036E-4</v>
      </c>
      <c r="K50" t="s">
        <v>7</v>
      </c>
      <c r="M50" t="s">
        <v>6</v>
      </c>
      <c r="N50">
        <v>45.394223999996413</v>
      </c>
      <c r="O50">
        <f>DTDRpat_result0__3[[#This Row],[gap of angle (rad)2]]*10000</f>
        <v>1.0833372729943969</v>
      </c>
      <c r="P50">
        <v>1.0833372729943968E-4</v>
      </c>
    </row>
    <row r="51" spans="1:16" x14ac:dyDescent="0.3">
      <c r="A51" t="s">
        <v>6</v>
      </c>
      <c r="B51">
        <v>45.394223999996413</v>
      </c>
      <c r="C51">
        <f>DTDRpat_result0_1[[#This Row],[gap of angle (rad)2]]*10000</f>
        <v>1.0376995660492969</v>
      </c>
      <c r="D51">
        <v>1.0376995660492968E-4</v>
      </c>
      <c r="E51">
        <v>580.17205136150847</v>
      </c>
      <c r="G51" t="s">
        <v>6</v>
      </c>
      <c r="H51">
        <v>45.394223999996413</v>
      </c>
      <c r="I51">
        <f>DTDRpat_result0__2[[#This Row],[gap of angle (rad)2]]*10000</f>
        <v>1.0693224447931688</v>
      </c>
      <c r="J51">
        <v>1.0693224447931689E-4</v>
      </c>
      <c r="K51" t="s">
        <v>8</v>
      </c>
      <c r="M51" t="s">
        <v>6</v>
      </c>
      <c r="N51">
        <v>45.394223999996413</v>
      </c>
      <c r="O51">
        <f>DTDRpat_result0__3[[#This Row],[gap of angle (rad)2]]*10000</f>
        <v>1.1014371286934046</v>
      </c>
      <c r="P51">
        <v>1.1014371286934047E-4</v>
      </c>
    </row>
    <row r="52" spans="1:16" x14ac:dyDescent="0.3">
      <c r="A52" t="s">
        <v>6</v>
      </c>
      <c r="B52">
        <v>47.285649999995584</v>
      </c>
      <c r="C52">
        <f>DTDRpat_result0_1[[#This Row],[gap of angle (rad)2]]*10000</f>
        <v>1.0501220133350664</v>
      </c>
      <c r="D52">
        <v>1.0501220133350663E-4</v>
      </c>
      <c r="E52">
        <v>576.73015393052913</v>
      </c>
      <c r="G52" t="s">
        <v>6</v>
      </c>
      <c r="H52">
        <v>47.285649999995584</v>
      </c>
      <c r="I52">
        <f>DTDRpat_result0__2[[#This Row],[gap of angle (rad)2]]*10000</f>
        <v>1.0700275675765536</v>
      </c>
      <c r="J52">
        <v>1.0700275675765535E-4</v>
      </c>
      <c r="K52" t="s">
        <v>7</v>
      </c>
      <c r="M52" t="s">
        <v>6</v>
      </c>
      <c r="N52">
        <v>47.285649999995584</v>
      </c>
      <c r="O52">
        <f>DTDRpat_result0__3[[#This Row],[gap of angle (rad)2]]*10000</f>
        <v>1.0871421030509207</v>
      </c>
      <c r="P52">
        <v>1.0871421030509208E-4</v>
      </c>
    </row>
    <row r="53" spans="1:16" x14ac:dyDescent="0.3">
      <c r="A53" t="s">
        <v>6</v>
      </c>
      <c r="B53">
        <v>47.285649999995584</v>
      </c>
      <c r="C53">
        <f>DTDRpat_result0_1[[#This Row],[gap of angle (rad)2]]*10000</f>
        <v>1.0618614207652153</v>
      </c>
      <c r="D53">
        <v>1.0618614207652153E-4</v>
      </c>
      <c r="E53">
        <v>573.53317697454088</v>
      </c>
      <c r="G53" t="s">
        <v>6</v>
      </c>
      <c r="H53">
        <v>47.285649999995584</v>
      </c>
      <c r="I53">
        <f>DTDRpat_result0__2[[#This Row],[gap of angle (rad)2]]*10000</f>
        <v>1.0877941268009255</v>
      </c>
      <c r="J53">
        <v>1.0877941268009256E-4</v>
      </c>
      <c r="K53" t="s">
        <v>8</v>
      </c>
      <c r="M53" t="s">
        <v>6</v>
      </c>
      <c r="N53">
        <v>47.285649999995584</v>
      </c>
      <c r="O53">
        <f>DTDRpat_result0__3[[#This Row],[gap of angle (rad)2]]*10000</f>
        <v>1.105313326886451</v>
      </c>
      <c r="P53">
        <v>1.105313326886451E-4</v>
      </c>
    </row>
    <row r="54" spans="1:16" x14ac:dyDescent="0.3">
      <c r="A54" t="s">
        <v>6</v>
      </c>
      <c r="B54">
        <v>49.164549999994755</v>
      </c>
      <c r="C54">
        <f>DTDRpat_result0_1[[#This Row],[gap of angle (rad)2]]*10000</f>
        <v>1.0746367754545711</v>
      </c>
      <c r="D54">
        <v>1.0746367754545711E-4</v>
      </c>
      <c r="E54">
        <v>570.1137993660119</v>
      </c>
      <c r="G54" t="s">
        <v>6</v>
      </c>
      <c r="H54">
        <v>49.164549999994755</v>
      </c>
      <c r="I54">
        <f>DTDRpat_result0__2[[#This Row],[gap of angle (rad)2]]*10000</f>
        <v>1.0883958192405991</v>
      </c>
      <c r="J54">
        <v>1.088395819240599E-4</v>
      </c>
      <c r="K54" t="s">
        <v>7</v>
      </c>
      <c r="M54" t="s">
        <v>6</v>
      </c>
      <c r="N54">
        <v>49.164549999994755</v>
      </c>
      <c r="O54">
        <f>DTDRpat_result0__3[[#This Row],[gap of angle (rad)2]]*10000</f>
        <v>1.0909672868288709</v>
      </c>
      <c r="P54">
        <v>1.0909672868288709E-4</v>
      </c>
    </row>
    <row r="55" spans="1:16" x14ac:dyDescent="0.3">
      <c r="A55" t="s">
        <v>6</v>
      </c>
      <c r="B55">
        <v>49.164549999994755</v>
      </c>
      <c r="C55">
        <f>DTDRpat_result0_1[[#This Row],[gap of angle (rad)2]]*10000</f>
        <v>1.086842075095424</v>
      </c>
      <c r="D55">
        <v>1.0868420750954239E-4</v>
      </c>
      <c r="E55">
        <v>566.90347937388367</v>
      </c>
      <c r="G55" t="s">
        <v>6</v>
      </c>
      <c r="H55">
        <v>49.164549999994755</v>
      </c>
      <c r="I55">
        <f>DTDRpat_result0__2[[#This Row],[gap of angle (rad)2]]*10000</f>
        <v>1.1066447965944641</v>
      </c>
      <c r="J55">
        <v>1.1066447965944642E-4</v>
      </c>
      <c r="K55" t="s">
        <v>8</v>
      </c>
      <c r="M55" t="s">
        <v>6</v>
      </c>
      <c r="N55">
        <v>49.164549999994755</v>
      </c>
      <c r="O55">
        <f>DTDRpat_result0__3[[#This Row],[gap of angle (rad)2]]*10000</f>
        <v>1.1091303151444218</v>
      </c>
      <c r="P55">
        <v>1.1091303151444219E-4</v>
      </c>
    </row>
    <row r="56" spans="1:16" x14ac:dyDescent="0.3">
      <c r="A56" t="s">
        <v>6</v>
      </c>
      <c r="B56">
        <v>51.062238999993923</v>
      </c>
      <c r="C56">
        <f>DTDRpat_result0_1[[#This Row],[gap of angle (rad)2]]*10000</f>
        <v>1.1003591244022248</v>
      </c>
      <c r="D56">
        <v>1.1003591244022248E-4</v>
      </c>
      <c r="E56">
        <v>563.41066659841727</v>
      </c>
      <c r="G56" t="s">
        <v>6</v>
      </c>
      <c r="H56">
        <v>51.062238999993923</v>
      </c>
      <c r="I56">
        <f>DTDRpat_result0__2[[#This Row],[gap of angle (rad)2]]*10000</f>
        <v>1.1074525360911427</v>
      </c>
      <c r="J56">
        <v>1.1074525360911427E-4</v>
      </c>
      <c r="K56" t="s">
        <v>7</v>
      </c>
      <c r="M56" t="s">
        <v>6</v>
      </c>
      <c r="N56">
        <v>51.062238999993923</v>
      </c>
      <c r="O56">
        <f>DTDRpat_result0__3[[#This Row],[gap of angle (rad)2]]*10000</f>
        <v>1.0948604946000662</v>
      </c>
      <c r="P56">
        <v>1.0948604946000661E-4</v>
      </c>
    </row>
    <row r="57" spans="1:16" x14ac:dyDescent="0.3">
      <c r="A57" t="s">
        <v>6</v>
      </c>
      <c r="B57">
        <v>51.062238999993923</v>
      </c>
      <c r="C57">
        <f>DTDRpat_result0_1[[#This Row],[gap of angle (rad)2]]*10000</f>
        <v>1.1130054562351519</v>
      </c>
      <c r="D57">
        <v>1.113005456235152E-4</v>
      </c>
      <c r="E57">
        <v>560.20065079325639</v>
      </c>
      <c r="G57" t="s">
        <v>6</v>
      </c>
      <c r="H57">
        <v>51.062238999993923</v>
      </c>
      <c r="I57">
        <f>DTDRpat_result0__2[[#This Row],[gap of angle (rad)2]]*10000</f>
        <v>1.1261234513032323</v>
      </c>
      <c r="J57">
        <v>1.1261234513032323E-4</v>
      </c>
      <c r="K57" t="s">
        <v>8</v>
      </c>
      <c r="M57" t="s">
        <v>6</v>
      </c>
      <c r="N57">
        <v>51.062238999993923</v>
      </c>
      <c r="O57">
        <f>DTDRpat_result0__3[[#This Row],[gap of angle (rad)2]]*10000</f>
        <v>1.1129336139610582</v>
      </c>
      <c r="P57">
        <v>1.1129336139610581E-4</v>
      </c>
    </row>
    <row r="58" spans="1:16" x14ac:dyDescent="0.3">
      <c r="A58" t="s">
        <v>6</v>
      </c>
      <c r="B58">
        <v>52.9411389999931</v>
      </c>
      <c r="C58">
        <f>DTDRpat_result0_1[[#This Row],[gap of angle (rad)2]]*10000</f>
        <v>1.1267147454310638</v>
      </c>
      <c r="D58">
        <v>1.1267147454310637E-4</v>
      </c>
      <c r="E58">
        <v>556.78205138843282</v>
      </c>
      <c r="G58" t="s">
        <v>6</v>
      </c>
      <c r="H58">
        <v>52.9411389999931</v>
      </c>
      <c r="I58">
        <f>DTDRpat_result0__2[[#This Row],[gap of angle (rad)2]]*10000</f>
        <v>1.126753134519735</v>
      </c>
      <c r="J58">
        <v>1.1267531345197351E-4</v>
      </c>
      <c r="K58" t="s">
        <v>7</v>
      </c>
      <c r="M58" t="s">
        <v>6</v>
      </c>
      <c r="N58">
        <v>52.9411389999931</v>
      </c>
      <c r="O58">
        <f>DTDRpat_result0__3[[#This Row],[gap of angle (rad)2]]*10000</f>
        <v>1.0987281154752202</v>
      </c>
      <c r="P58">
        <v>1.0987281154752202E-4</v>
      </c>
    </row>
    <row r="59" spans="1:16" x14ac:dyDescent="0.3">
      <c r="A59" t="s">
        <v>6</v>
      </c>
      <c r="B59">
        <v>52.9411389999931</v>
      </c>
      <c r="C59">
        <f>DTDRpat_result0_1[[#This Row],[gap of angle (rad)2]]*10000</f>
        <v>1.139760120875301</v>
      </c>
      <c r="D59">
        <v>1.1397601208753009E-4</v>
      </c>
      <c r="E59">
        <v>553.58647003682972</v>
      </c>
      <c r="G59" t="s">
        <v>6</v>
      </c>
      <c r="H59">
        <v>52.9411389999931</v>
      </c>
      <c r="I59">
        <f>DTDRpat_result0__2[[#This Row],[gap of angle (rad)2]]*10000</f>
        <v>1.1457672614382679</v>
      </c>
      <c r="J59">
        <v>1.145767261438268E-4</v>
      </c>
      <c r="K59" t="s">
        <v>8</v>
      </c>
      <c r="M59" t="s">
        <v>6</v>
      </c>
      <c r="N59">
        <v>52.9411389999931</v>
      </c>
      <c r="O59">
        <f>DTDRpat_result0__3[[#This Row],[gap of angle (rad)2]]*10000</f>
        <v>1.1166301251972532</v>
      </c>
      <c r="P59">
        <v>1.1166301251972533E-4</v>
      </c>
    </row>
    <row r="60" spans="1:16" x14ac:dyDescent="0.3">
      <c r="A60" t="s">
        <v>6</v>
      </c>
      <c r="B60">
        <v>54.832564999992265</v>
      </c>
      <c r="C60">
        <f>DTDRpat_result0_1[[#This Row],[gap of angle (rad)2]]*10000</f>
        <v>1.1540550889611485</v>
      </c>
      <c r="D60">
        <v>1.1540550889611485E-4</v>
      </c>
      <c r="E60">
        <v>550.14720680009759</v>
      </c>
      <c r="G60" t="s">
        <v>6</v>
      </c>
      <c r="H60">
        <v>54.832564999992265</v>
      </c>
      <c r="I60">
        <f>DTDRpat_result0__2[[#This Row],[gap of angle (rad)2]]*10000</f>
        <v>1.1465391023460934</v>
      </c>
      <c r="J60">
        <v>1.1465391023460934E-4</v>
      </c>
      <c r="K60" t="s">
        <v>7</v>
      </c>
      <c r="M60" t="s">
        <v>6</v>
      </c>
      <c r="N60">
        <v>54.832564999992265</v>
      </c>
      <c r="O60">
        <f>DTDRpat_result0__3[[#This Row],[gap of angle (rad)2]]*10000</f>
        <v>1.1026174418450576</v>
      </c>
      <c r="P60">
        <v>1.1026174418450576E-4</v>
      </c>
    </row>
    <row r="61" spans="1:16" x14ac:dyDescent="0.3">
      <c r="A61" t="s">
        <v>6</v>
      </c>
      <c r="B61">
        <v>54.832564999992265</v>
      </c>
      <c r="C61">
        <f>DTDRpat_result0_1[[#This Row],[gap of angle (rad)2]]*10000</f>
        <v>1.167455075507368</v>
      </c>
      <c r="D61">
        <v>1.1674550755073681E-4</v>
      </c>
      <c r="E61">
        <v>546.98081624763745</v>
      </c>
      <c r="G61" t="s">
        <v>6</v>
      </c>
      <c r="H61">
        <v>54.832564999992265</v>
      </c>
      <c r="I61">
        <f>DTDRpat_result0__2[[#This Row],[gap of angle (rad)2]]*10000</f>
        <v>1.1658133430431139</v>
      </c>
      <c r="J61">
        <v>1.1658133430431138E-4</v>
      </c>
      <c r="K61" t="s">
        <v>8</v>
      </c>
      <c r="M61" t="s">
        <v>6</v>
      </c>
      <c r="N61">
        <v>54.832564999992265</v>
      </c>
      <c r="O61">
        <f>DTDRpat_result0__3[[#This Row],[gap of angle (rad)2]]*10000</f>
        <v>1.1202638286277866</v>
      </c>
      <c r="P61">
        <v>1.1202638286277866E-4</v>
      </c>
    </row>
    <row r="62" spans="1:16" x14ac:dyDescent="0.3">
      <c r="A62" t="s">
        <v>6</v>
      </c>
      <c r="B62">
        <v>56.717727999991439</v>
      </c>
      <c r="C62">
        <f>DTDRpat_result0_1[[#This Row],[gap of angle (rad)2]]*10000</f>
        <v>1.1820096257950159</v>
      </c>
      <c r="D62">
        <v>1.1820096257950158E-4</v>
      </c>
      <c r="E62">
        <v>543.60280668388168</v>
      </c>
      <c r="G62" t="s">
        <v>6</v>
      </c>
      <c r="H62">
        <v>56.717727999991439</v>
      </c>
      <c r="I62">
        <f>DTDRpat_result0__2[[#This Row],[gap of angle (rad)2]]*10000</f>
        <v>1.1665270094571463</v>
      </c>
      <c r="J62">
        <v>1.1665270094571463E-4</v>
      </c>
      <c r="K62" t="s">
        <v>7</v>
      </c>
      <c r="M62" t="s">
        <v>6</v>
      </c>
      <c r="N62">
        <v>56.717727999991439</v>
      </c>
      <c r="O62">
        <f>DTDRpat_result0__3[[#This Row],[gap of angle (rad)2]]*10000</f>
        <v>1.1064724577733263</v>
      </c>
      <c r="P62">
        <v>1.1064724577733262E-4</v>
      </c>
    </row>
    <row r="63" spans="1:16" x14ac:dyDescent="0.3">
      <c r="A63" t="s">
        <v>6</v>
      </c>
      <c r="B63">
        <v>56.717727999991439</v>
      </c>
      <c r="C63">
        <f>DTDRpat_result0_1[[#This Row],[gap of angle (rad)2]]*10000</f>
        <v>1.1957056194270375</v>
      </c>
      <c r="D63">
        <v>1.1957056194270374E-4</v>
      </c>
      <c r="E63">
        <v>540.48055425996904</v>
      </c>
      <c r="G63" t="s">
        <v>6</v>
      </c>
      <c r="H63">
        <v>56.717727999991439</v>
      </c>
      <c r="I63">
        <f>DTDRpat_result0__2[[#This Row],[gap of angle (rad)2]]*10000</f>
        <v>1.1859644354439511</v>
      </c>
      <c r="J63">
        <v>1.1859644354439512E-4</v>
      </c>
      <c r="K63" t="s">
        <v>8</v>
      </c>
      <c r="M63" t="s">
        <v>6</v>
      </c>
      <c r="N63">
        <v>56.717727999991439</v>
      </c>
      <c r="O63">
        <f>DTDRpat_result0__3[[#This Row],[gap of angle (rad)2]]*10000</f>
        <v>1.1237803858299702</v>
      </c>
      <c r="P63">
        <v>1.1237803858299701E-4</v>
      </c>
    </row>
    <row r="64" spans="1:16" x14ac:dyDescent="0.3">
      <c r="A64" t="s">
        <v>6</v>
      </c>
      <c r="B64">
        <v>58.59662799999041</v>
      </c>
      <c r="C64">
        <f>DTDRpat_result0_1[[#This Row],[gap of angle (rad)2]]*10000</f>
        <v>1.2104472448837067</v>
      </c>
      <c r="D64">
        <v>1.2104472448837066E-4</v>
      </c>
      <c r="E64">
        <v>537.17935428748285</v>
      </c>
      <c r="G64" t="s">
        <v>6</v>
      </c>
      <c r="H64">
        <v>58.59662799999041</v>
      </c>
      <c r="I64">
        <f>DTDRpat_result0__2[[#This Row],[gap of angle (rad)2]]*10000</f>
        <v>1.1866150955776651</v>
      </c>
      <c r="J64">
        <v>1.1866150955776651E-4</v>
      </c>
      <c r="K64" t="s">
        <v>7</v>
      </c>
      <c r="M64" t="s">
        <v>6</v>
      </c>
      <c r="N64">
        <v>58.59662799999041</v>
      </c>
      <c r="O64">
        <f>DTDRpat_result0__3[[#This Row],[gap of angle (rad)2]]*10000</f>
        <v>1.1102758616255848</v>
      </c>
      <c r="P64">
        <v>1.1102758616255848E-4</v>
      </c>
    </row>
    <row r="65" spans="1:16" x14ac:dyDescent="0.3">
      <c r="A65" t="s">
        <v>6</v>
      </c>
      <c r="B65">
        <v>58.59662799999041</v>
      </c>
      <c r="C65">
        <f>DTDRpat_result0_1[[#This Row],[gap of angle (rad)2]]*10000</f>
        <v>1.2243702209036156</v>
      </c>
      <c r="D65">
        <v>1.2243702209036156E-4</v>
      </c>
      <c r="E65">
        <v>534.11638589122265</v>
      </c>
      <c r="G65" t="s">
        <v>6</v>
      </c>
      <c r="H65">
        <v>58.59662799999041</v>
      </c>
      <c r="I65">
        <f>DTDRpat_result0__2[[#This Row],[gap of angle (rad)2]]*10000</f>
        <v>1.2061087601572846</v>
      </c>
      <c r="J65">
        <v>1.2061087601572846E-4</v>
      </c>
      <c r="K65" t="s">
        <v>8</v>
      </c>
      <c r="M65" t="s">
        <v>6</v>
      </c>
      <c r="N65">
        <v>58.59662799999041</v>
      </c>
      <c r="O65">
        <f>DTDRpat_result0__3[[#This Row],[gap of angle (rad)2]]*10000</f>
        <v>1.1271633805710222</v>
      </c>
      <c r="P65">
        <v>1.1271633805710222E-4</v>
      </c>
    </row>
    <row r="66" spans="1:16" x14ac:dyDescent="0.3">
      <c r="A66" t="s">
        <v>6</v>
      </c>
      <c r="B66">
        <v>60.494316999989287</v>
      </c>
      <c r="C66">
        <f>DTDRpat_result0_1[[#This Row],[gap of angle (rad)2]]*10000</f>
        <v>1.2396032934128545</v>
      </c>
      <c r="D66">
        <v>1.2396032934128544E-4</v>
      </c>
      <c r="E66">
        <v>530.82453202712315</v>
      </c>
      <c r="G66" t="s">
        <v>6</v>
      </c>
      <c r="H66">
        <v>60.494316999989287</v>
      </c>
      <c r="I66">
        <f>DTDRpat_result0__2[[#This Row],[gap of angle (rad)2]]*10000</f>
        <v>1.2069607317229547</v>
      </c>
      <c r="J66">
        <v>1.2069607317229546E-4</v>
      </c>
      <c r="K66" t="s">
        <v>7</v>
      </c>
      <c r="M66" t="s">
        <v>6</v>
      </c>
      <c r="N66">
        <v>60.494316999989287</v>
      </c>
      <c r="O66">
        <f>DTDRpat_result0__3[[#This Row],[gap of angle (rad)2]]*10000</f>
        <v>1.1140600523392832</v>
      </c>
      <c r="P66">
        <v>1.1140600523392832E-4</v>
      </c>
    </row>
    <row r="67" spans="1:16" x14ac:dyDescent="0.3">
      <c r="A67" t="s">
        <v>6</v>
      </c>
      <c r="B67">
        <v>60.494316999989287</v>
      </c>
      <c r="C67">
        <f>DTDRpat_result0_1[[#This Row],[gap of angle (rad)2]]*10000</f>
        <v>1.2536744904401596</v>
      </c>
      <c r="D67">
        <v>1.2536744904401595E-4</v>
      </c>
      <c r="E67">
        <v>527.83721968861346</v>
      </c>
      <c r="G67" t="s">
        <v>6</v>
      </c>
      <c r="H67">
        <v>60.494316999989287</v>
      </c>
      <c r="I67">
        <f>DTDRpat_result0__2[[#This Row],[gap of angle (rad)2]]*10000</f>
        <v>1.2263923815768563</v>
      </c>
      <c r="J67">
        <v>1.2263923815768562E-4</v>
      </c>
      <c r="K67" t="s">
        <v>8</v>
      </c>
      <c r="M67" t="s">
        <v>6</v>
      </c>
      <c r="N67">
        <v>60.494316999989287</v>
      </c>
      <c r="O67">
        <f>DTDRpat_result0__3[[#This Row],[gap of angle (rad)2]]*10000</f>
        <v>1.1304393017716965</v>
      </c>
      <c r="P67">
        <v>1.1304393017716966E-4</v>
      </c>
    </row>
    <row r="68" spans="1:16" x14ac:dyDescent="0.3">
      <c r="A68" t="s">
        <v>6</v>
      </c>
      <c r="B68">
        <v>62.37321699998818</v>
      </c>
      <c r="C68">
        <f>DTDRpat_result0_1[[#This Row],[gap of angle (rad)2]]*10000</f>
        <v>1.2687274289262667</v>
      </c>
      <c r="D68">
        <v>1.2687274289262666E-4</v>
      </c>
      <c r="E68">
        <v>524.69669192671086</v>
      </c>
      <c r="G68" t="s">
        <v>6</v>
      </c>
      <c r="H68">
        <v>62.37321699998818</v>
      </c>
      <c r="I68">
        <f>DTDRpat_result0__2[[#This Row],[gap of angle (rad)2]]*10000</f>
        <v>1.2270388766539113</v>
      </c>
      <c r="J68">
        <v>1.2270388766539114E-4</v>
      </c>
      <c r="K68" t="s">
        <v>7</v>
      </c>
      <c r="M68" t="s">
        <v>6</v>
      </c>
      <c r="N68">
        <v>62.37321699998818</v>
      </c>
      <c r="O68">
        <f>DTDRpat_result0__3[[#This Row],[gap of angle (rad)2]]*10000</f>
        <v>1.1177322180074145</v>
      </c>
      <c r="P68">
        <v>1.1177322180074146E-4</v>
      </c>
    </row>
    <row r="69" spans="1:16" x14ac:dyDescent="0.3">
      <c r="A69" t="s">
        <v>6</v>
      </c>
      <c r="B69">
        <v>62.37321699998818</v>
      </c>
      <c r="C69">
        <f>DTDRpat_result0_1[[#This Row],[gap of angle (rad)2]]*10000</f>
        <v>1.2828528591606909</v>
      </c>
      <c r="D69">
        <v>1.282852859160691E-4</v>
      </c>
      <c r="E69">
        <v>521.80010481594979</v>
      </c>
      <c r="G69" t="s">
        <v>6</v>
      </c>
      <c r="H69">
        <v>62.37321699998818</v>
      </c>
      <c r="I69">
        <f>DTDRpat_result0__2[[#This Row],[gap of angle (rad)2]]*10000</f>
        <v>1.2462809928477414</v>
      </c>
      <c r="J69">
        <v>1.2462809928477414E-4</v>
      </c>
      <c r="K69" t="s">
        <v>8</v>
      </c>
      <c r="M69" t="s">
        <v>6</v>
      </c>
      <c r="N69">
        <v>62.37321699998818</v>
      </c>
      <c r="O69">
        <f>DTDRpat_result0__3[[#This Row],[gap of angle (rad)2]]*10000</f>
        <v>1.1335264843971544</v>
      </c>
      <c r="P69">
        <v>1.1335264843971544E-4</v>
      </c>
    </row>
    <row r="70" spans="1:16" x14ac:dyDescent="0.3">
      <c r="A70" t="s">
        <v>6</v>
      </c>
      <c r="B70">
        <v>64.264642999987458</v>
      </c>
      <c r="C70">
        <f>DTDRpat_result0_1[[#This Row],[gap of angle (rad)2]]*10000</f>
        <v>1.2981036660626879</v>
      </c>
      <c r="D70">
        <v>1.2981036660626879E-4</v>
      </c>
      <c r="E70">
        <v>518.72598801818458</v>
      </c>
      <c r="G70" t="s">
        <v>6</v>
      </c>
      <c r="H70">
        <v>64.264642999987458</v>
      </c>
      <c r="I70">
        <f>DTDRpat_result0__2[[#This Row],[gap of angle (rad)2]]*10000</f>
        <v>1.2470504670392919</v>
      </c>
      <c r="J70">
        <v>1.2470504670392918E-4</v>
      </c>
      <c r="K70" t="s">
        <v>7</v>
      </c>
      <c r="M70" t="s">
        <v>6</v>
      </c>
      <c r="N70">
        <v>64.264642999987458</v>
      </c>
      <c r="O70">
        <f>DTDRpat_result0__3[[#This Row],[gap of angle (rad)2]]*10000</f>
        <v>1.1213360438128745</v>
      </c>
      <c r="P70">
        <v>1.1213360438128745E-4</v>
      </c>
    </row>
    <row r="71" spans="1:16" x14ac:dyDescent="0.3">
      <c r="A71" t="s">
        <v>6</v>
      </c>
      <c r="B71">
        <v>64.264642999987458</v>
      </c>
      <c r="C71">
        <f>DTDRpat_result0_1[[#This Row],[gap of angle (rad)2]]*10000</f>
        <v>1.3121779632942214</v>
      </c>
      <c r="D71">
        <v>1.3121779632942215E-4</v>
      </c>
      <c r="E71">
        <v>515.93672537124075</v>
      </c>
      <c r="G71" t="s">
        <v>6</v>
      </c>
      <c r="H71">
        <v>64.264642999987458</v>
      </c>
      <c r="I71">
        <f>DTDRpat_result0__2[[#This Row],[gap of angle (rad)2]]*10000</f>
        <v>1.2659630784313836</v>
      </c>
      <c r="J71">
        <v>1.2659630784313836E-4</v>
      </c>
      <c r="K71" t="s">
        <v>8</v>
      </c>
      <c r="M71" t="s">
        <v>6</v>
      </c>
      <c r="N71">
        <v>64.264642999987458</v>
      </c>
      <c r="O71">
        <f>DTDRpat_result0__3[[#This Row],[gap of angle (rad)2]]*10000</f>
        <v>1.1364607958454587</v>
      </c>
      <c r="P71">
        <v>1.1364607958454587E-4</v>
      </c>
    </row>
    <row r="72" spans="1:16" x14ac:dyDescent="0.3">
      <c r="A72" t="s">
        <v>6</v>
      </c>
      <c r="B72">
        <v>66.149805999988899</v>
      </c>
      <c r="C72">
        <f>DTDRpat_result0_1[[#This Row],[gap of angle (rad)2]]*10000</f>
        <v>1.3272150180900186</v>
      </c>
      <c r="D72">
        <v>1.3272150180900185E-4</v>
      </c>
      <c r="E72">
        <v>513.00583420789519</v>
      </c>
      <c r="G72" t="s">
        <v>6</v>
      </c>
      <c r="H72">
        <v>66.149805999988899</v>
      </c>
      <c r="I72">
        <f>DTDRpat_result0__2[[#This Row],[gap of angle (rad)2]]*10000</f>
        <v>1.2666519772373654</v>
      </c>
      <c r="J72">
        <v>1.2666519772373653E-4</v>
      </c>
      <c r="K72" t="s">
        <v>7</v>
      </c>
      <c r="M72" t="s">
        <v>6</v>
      </c>
      <c r="N72">
        <v>66.149805999988899</v>
      </c>
      <c r="O72">
        <f>DTDRpat_result0__3[[#This Row],[gap of angle (rad)2]]*10000</f>
        <v>1.1248174968628268</v>
      </c>
      <c r="P72">
        <v>1.1248174968628268E-4</v>
      </c>
    </row>
    <row r="73" spans="1:16" x14ac:dyDescent="0.3">
      <c r="A73" t="s">
        <v>6</v>
      </c>
      <c r="B73">
        <v>66.149805999988899</v>
      </c>
      <c r="C73">
        <f>DTDRpat_result0_1[[#This Row],[gap of angle (rad)2]]*10000</f>
        <v>1.3411206181655277</v>
      </c>
      <c r="D73">
        <v>1.3411206181655278E-4</v>
      </c>
      <c r="E73">
        <v>510.33949049002001</v>
      </c>
      <c r="G73" t="s">
        <v>6</v>
      </c>
      <c r="H73">
        <v>66.149805999988899</v>
      </c>
      <c r="I73">
        <f>DTDRpat_result0__2[[#This Row],[gap of angle (rad)2]]*10000</f>
        <v>1.2850891098495971</v>
      </c>
      <c r="J73">
        <v>1.2850891098495972E-4</v>
      </c>
      <c r="K73" t="s">
        <v>8</v>
      </c>
      <c r="M73" t="s">
        <v>6</v>
      </c>
      <c r="N73">
        <v>66.149805999988899</v>
      </c>
      <c r="O73">
        <f>DTDRpat_result0__3[[#This Row],[gap of angle (rad)2]]*10000</f>
        <v>1.1391966975891397</v>
      </c>
      <c r="P73">
        <v>1.1391966975891397E-4</v>
      </c>
    </row>
    <row r="74" spans="1:16" x14ac:dyDescent="0.3">
      <c r="A74" t="s">
        <v>6</v>
      </c>
      <c r="B74">
        <v>68.04123199999033</v>
      </c>
      <c r="C74">
        <f>DTDRpat_result0_1[[#This Row],[gap of angle (rad)2]]*10000</f>
        <v>1.3560030415046458</v>
      </c>
      <c r="D74">
        <v>1.3560030415046457E-4</v>
      </c>
      <c r="E74">
        <v>507.53141907862033</v>
      </c>
      <c r="G74" t="s">
        <v>6</v>
      </c>
      <c r="H74">
        <v>68.04123199999033</v>
      </c>
      <c r="I74">
        <f>DTDRpat_result0__2[[#This Row],[gap of angle (rad)2]]*10000</f>
        <v>1.2858201296430585</v>
      </c>
      <c r="J74">
        <v>1.2858201296430584E-4</v>
      </c>
      <c r="K74" t="s">
        <v>7</v>
      </c>
      <c r="M74" t="s">
        <v>6</v>
      </c>
      <c r="N74">
        <v>68.04123199999033</v>
      </c>
      <c r="O74">
        <f>DTDRpat_result0__3[[#This Row],[gap of angle (rad)2]]*10000</f>
        <v>1.1281821187444101</v>
      </c>
      <c r="P74">
        <v>1.1281821187444101E-4</v>
      </c>
    </row>
    <row r="75" spans="1:16" x14ac:dyDescent="0.3">
      <c r="A75" t="s">
        <v>6</v>
      </c>
      <c r="B75">
        <v>68.04123199999033</v>
      </c>
      <c r="C75">
        <f>DTDRpat_result0_1[[#This Row],[gap of angle (rad)2]]*10000</f>
        <v>1.3696096298871139</v>
      </c>
      <c r="D75">
        <v>1.3696096298871139E-4</v>
      </c>
      <c r="E75">
        <v>505.00425617917733</v>
      </c>
      <c r="G75" t="s">
        <v>6</v>
      </c>
      <c r="H75">
        <v>68.04123199999033</v>
      </c>
      <c r="I75">
        <f>DTDRpat_result0__2[[#This Row],[gap of angle (rad)2]]*10000</f>
        <v>1.3036253265182478</v>
      </c>
      <c r="J75">
        <v>1.3036253265182477E-4</v>
      </c>
      <c r="K75" t="s">
        <v>8</v>
      </c>
      <c r="M75" t="s">
        <v>6</v>
      </c>
      <c r="N75">
        <v>68.04123199999033</v>
      </c>
      <c r="O75">
        <f>DTDRpat_result0__3[[#This Row],[gap of angle (rad)2]]*10000</f>
        <v>1.1417374635134767</v>
      </c>
      <c r="P75">
        <v>1.1417374635134766E-4</v>
      </c>
    </row>
    <row r="76" spans="1:16" x14ac:dyDescent="0.3">
      <c r="A76" t="s">
        <v>6</v>
      </c>
      <c r="B76">
        <v>69.932657999992031</v>
      </c>
      <c r="C76">
        <f>DTDRpat_result0_1[[#This Row],[gap of angle (rad)2]]*10000</f>
        <v>1.384094468888158</v>
      </c>
      <c r="D76">
        <v>1.3840944688881581E-4</v>
      </c>
      <c r="E76">
        <v>502.35504860121097</v>
      </c>
      <c r="G76" t="s">
        <v>6</v>
      </c>
      <c r="H76">
        <v>69.932657999992031</v>
      </c>
      <c r="I76">
        <f>DTDRpat_result0__2[[#This Row],[gap of angle (rad)2]]*10000</f>
        <v>1.3043277169953298</v>
      </c>
      <c r="J76">
        <v>1.3043277169953298E-4</v>
      </c>
      <c r="K76" t="s">
        <v>7</v>
      </c>
      <c r="M76" t="s">
        <v>6</v>
      </c>
      <c r="N76">
        <v>69.932657999992031</v>
      </c>
      <c r="O76">
        <f>DTDRpat_result0__3[[#This Row],[gap of angle (rad)2]]*10000</f>
        <v>1.1314008464229537</v>
      </c>
      <c r="P76">
        <v>1.1314008464229537E-4</v>
      </c>
    </row>
    <row r="77" spans="1:16" x14ac:dyDescent="0.3">
      <c r="A77" t="s">
        <v>6</v>
      </c>
      <c r="B77">
        <v>69.932657999992031</v>
      </c>
      <c r="C77">
        <f>DTDRpat_result0_1[[#This Row],[gap of angle (rad)2]]*10000</f>
        <v>1.3972618553054683</v>
      </c>
      <c r="D77">
        <v>1.3972618553054683E-4</v>
      </c>
      <c r="E77">
        <v>499.9826498583339</v>
      </c>
      <c r="G77" t="s">
        <v>6</v>
      </c>
      <c r="H77">
        <v>69.932657999992031</v>
      </c>
      <c r="I77">
        <f>DTDRpat_result0__2[[#This Row],[gap of angle (rad)2]]*10000</f>
        <v>1.3213406973870367</v>
      </c>
      <c r="J77">
        <v>1.3213406973870367E-4</v>
      </c>
      <c r="K77" t="s">
        <v>8</v>
      </c>
      <c r="M77" t="s">
        <v>6</v>
      </c>
      <c r="N77">
        <v>69.932657999992031</v>
      </c>
      <c r="O77">
        <f>DTDRpat_result0__3[[#This Row],[gap of angle (rad)2]]*10000</f>
        <v>1.1440597354753825</v>
      </c>
      <c r="P77">
        <v>1.1440597354753825E-4</v>
      </c>
    </row>
    <row r="78" spans="1:16" x14ac:dyDescent="0.3">
      <c r="A78" t="s">
        <v>6</v>
      </c>
      <c r="B78">
        <v>71.811557999993852</v>
      </c>
      <c r="C78">
        <f>DTDRpat_result0_1[[#This Row],[gap of angle (rad)2]]*10000</f>
        <v>1.4110174079026572</v>
      </c>
      <c r="D78">
        <v>1.4110174079026572E-4</v>
      </c>
      <c r="E78">
        <v>497.53985841790592</v>
      </c>
      <c r="G78" t="s">
        <v>6</v>
      </c>
      <c r="H78">
        <v>71.811557999993852</v>
      </c>
      <c r="I78">
        <f>DTDRpat_result0__2[[#This Row],[gap of angle (rad)2]]*10000</f>
        <v>1.3218939115228767</v>
      </c>
      <c r="J78">
        <v>1.3218939115228767E-4</v>
      </c>
      <c r="K78" t="s">
        <v>7</v>
      </c>
      <c r="M78" t="s">
        <v>6</v>
      </c>
      <c r="N78">
        <v>71.811557999993852</v>
      </c>
      <c r="O78">
        <f>DTDRpat_result0__3[[#This Row],[gap of angle (rad)2]]*10000</f>
        <v>1.1344371951541485</v>
      </c>
      <c r="P78">
        <v>1.1344371951541485E-4</v>
      </c>
    </row>
    <row r="79" spans="1:16" x14ac:dyDescent="0.3">
      <c r="A79" t="s">
        <v>6</v>
      </c>
      <c r="B79">
        <v>71.811557999993852</v>
      </c>
      <c r="C79">
        <f>DTDRpat_result0_1[[#This Row],[gap of angle (rad)2]]*10000</f>
        <v>1.4236016500125133</v>
      </c>
      <c r="D79">
        <v>1.4236016500125134E-4</v>
      </c>
      <c r="E79">
        <v>495.33617560416229</v>
      </c>
      <c r="G79" t="s">
        <v>6</v>
      </c>
      <c r="H79">
        <v>71.811557999993852</v>
      </c>
      <c r="I79">
        <f>DTDRpat_result0__2[[#This Row],[gap of angle (rad)2]]*10000</f>
        <v>1.3379584697725515</v>
      </c>
      <c r="J79">
        <v>1.3379584697725515E-4</v>
      </c>
      <c r="K79" t="s">
        <v>8</v>
      </c>
      <c r="M79" t="s">
        <v>6</v>
      </c>
      <c r="N79">
        <v>71.811557999993852</v>
      </c>
      <c r="O79">
        <f>DTDRpat_result0__3[[#This Row],[gap of angle (rad)2]]*10000</f>
        <v>1.1461375158558627</v>
      </c>
      <c r="P79">
        <v>1.1461375158558626E-4</v>
      </c>
    </row>
    <row r="80" spans="1:16" x14ac:dyDescent="0.3">
      <c r="A80" t="s">
        <v>6</v>
      </c>
      <c r="B80">
        <v>73.690457999995672</v>
      </c>
      <c r="C80">
        <f>DTDRpat_result0_1[[#This Row],[gap of angle (rad)2]]*10000</f>
        <v>1.4366546766020232</v>
      </c>
      <c r="D80">
        <v>1.4366546766020233E-4</v>
      </c>
      <c r="E80">
        <v>493.08109331509547</v>
      </c>
      <c r="G80" t="s">
        <v>6</v>
      </c>
      <c r="H80">
        <v>73.690457999995672</v>
      </c>
      <c r="I80">
        <f>DTDRpat_result0__2[[#This Row],[gap of angle (rad)2]]*10000</f>
        <v>1.3384772776469351</v>
      </c>
      <c r="J80">
        <v>1.3384772776469351E-4</v>
      </c>
      <c r="K80" t="s">
        <v>7</v>
      </c>
      <c r="M80" t="s">
        <v>6</v>
      </c>
      <c r="N80">
        <v>73.690457999995672</v>
      </c>
      <c r="O80">
        <f>DTDRpat_result0__3[[#This Row],[gap of angle (rad)2]]*10000</f>
        <v>1.137297067380403</v>
      </c>
      <c r="P80">
        <v>1.137297067380403E-4</v>
      </c>
    </row>
    <row r="81" spans="1:16" x14ac:dyDescent="0.3">
      <c r="A81" t="s">
        <v>6</v>
      </c>
      <c r="B81">
        <v>73.690457999995672</v>
      </c>
      <c r="C81">
        <f>DTDRpat_result0_1[[#This Row],[gap of angle (rad)2]]*10000</f>
        <v>1.4485040641889306</v>
      </c>
      <c r="D81">
        <v>1.4485040641889306E-4</v>
      </c>
      <c r="E81">
        <v>491.06043402151181</v>
      </c>
      <c r="G81" t="s">
        <v>6</v>
      </c>
      <c r="H81">
        <v>73.690457999995672</v>
      </c>
      <c r="I81">
        <f>DTDRpat_result0__2[[#This Row],[gap of angle (rad)2]]*10000</f>
        <v>1.353432540572078</v>
      </c>
      <c r="J81">
        <v>1.3534325405720779E-4</v>
      </c>
      <c r="K81" t="s">
        <v>8</v>
      </c>
      <c r="M81" t="s">
        <v>6</v>
      </c>
      <c r="N81">
        <v>73.690457999995672</v>
      </c>
      <c r="O81">
        <f>DTDRpat_result0__3[[#This Row],[gap of angle (rad)2]]*10000</f>
        <v>1.1479754107344955</v>
      </c>
      <c r="P81">
        <v>1.1479754107344955E-4</v>
      </c>
    </row>
    <row r="82" spans="1:16" x14ac:dyDescent="0.3">
      <c r="A82" t="s">
        <v>6</v>
      </c>
      <c r="B82">
        <v>75.588146999997534</v>
      </c>
      <c r="C82">
        <f>DTDRpat_result0_1[[#This Row],[gap of angle (rad)2]]*10000</f>
        <v>1.4609222927234276</v>
      </c>
      <c r="D82">
        <v>1.4609222927234277E-4</v>
      </c>
      <c r="E82">
        <v>488.96923350941768</v>
      </c>
      <c r="G82" t="s">
        <v>6</v>
      </c>
      <c r="H82">
        <v>75.588146999997534</v>
      </c>
      <c r="I82">
        <f>DTDRpat_result0__2[[#This Row],[gap of angle (rad)2]]*10000</f>
        <v>1.3540596307961013</v>
      </c>
      <c r="J82">
        <v>1.3540596307961013E-4</v>
      </c>
      <c r="K82" t="s">
        <v>7</v>
      </c>
      <c r="M82" t="s">
        <v>6</v>
      </c>
      <c r="N82">
        <v>75.588146999997534</v>
      </c>
      <c r="O82">
        <f>DTDRpat_result0__3[[#This Row],[gap of angle (rad)2]]*10000</f>
        <v>1.1399909848178074</v>
      </c>
      <c r="P82">
        <v>1.1399909848178073E-4</v>
      </c>
    </row>
    <row r="83" spans="1:16" x14ac:dyDescent="0.3">
      <c r="A83" t="s">
        <v>6</v>
      </c>
      <c r="B83">
        <v>75.588146999997534</v>
      </c>
      <c r="C83">
        <f>DTDRpat_result0_1[[#This Row],[gap of angle (rad)2]]*10000</f>
        <v>1.4718733071359267</v>
      </c>
      <c r="D83">
        <v>1.4718733071359267E-4</v>
      </c>
      <c r="E83">
        <v>487.14714010697537</v>
      </c>
      <c r="G83" t="s">
        <v>6</v>
      </c>
      <c r="H83">
        <v>75.588146999997534</v>
      </c>
      <c r="I83">
        <f>DTDRpat_result0__2[[#This Row],[gap of angle (rad)2]]*10000</f>
        <v>1.3677343796553827</v>
      </c>
      <c r="J83">
        <v>1.3677343796553827E-4</v>
      </c>
      <c r="K83" t="s">
        <v>8</v>
      </c>
      <c r="M83" t="s">
        <v>6</v>
      </c>
      <c r="N83">
        <v>75.588146999997534</v>
      </c>
      <c r="O83">
        <f>DTDRpat_result0__3[[#This Row],[gap of angle (rad)2]]*10000</f>
        <v>1.1495777094142112</v>
      </c>
      <c r="P83">
        <v>1.1495777094142113E-4</v>
      </c>
    </row>
    <row r="84" spans="1:16" x14ac:dyDescent="0.3">
      <c r="A84" t="s">
        <v>6</v>
      </c>
      <c r="B84">
        <v>77.467046999999354</v>
      </c>
      <c r="C84">
        <f>DTDRpat_result0_1[[#This Row],[gap of angle (rad)2]]*10000</f>
        <v>1.4830196063696095</v>
      </c>
      <c r="D84">
        <v>1.4830196063696094E-4</v>
      </c>
      <c r="E84">
        <v>485.31334984180091</v>
      </c>
      <c r="G84" t="s">
        <v>6</v>
      </c>
      <c r="H84">
        <v>77.467046999999354</v>
      </c>
      <c r="I84">
        <f>DTDRpat_result0__2[[#This Row],[gap of angle (rad)2]]*10000</f>
        <v>1.3681681287332916</v>
      </c>
      <c r="J84">
        <v>1.3681681287332917E-4</v>
      </c>
      <c r="K84" t="s">
        <v>7</v>
      </c>
      <c r="M84" t="s">
        <v>6</v>
      </c>
      <c r="N84">
        <v>77.467046999999354</v>
      </c>
      <c r="O84">
        <f>DTDRpat_result0__3[[#This Row],[gap of angle (rad)2]]*10000</f>
        <v>1.1424511068977383</v>
      </c>
      <c r="P84">
        <v>1.1424511068977382E-4</v>
      </c>
    </row>
    <row r="85" spans="1:16" x14ac:dyDescent="0.3">
      <c r="A85" t="s">
        <v>6</v>
      </c>
      <c r="B85">
        <v>77.467046999999354</v>
      </c>
      <c r="C85">
        <f>DTDRpat_result0_1[[#This Row],[gap of angle (rad)2]]*10000</f>
        <v>1.4929284750017962</v>
      </c>
      <c r="D85">
        <v>1.4929284750017961E-4</v>
      </c>
      <c r="E85">
        <v>483.70044588725932</v>
      </c>
      <c r="G85" t="s">
        <v>6</v>
      </c>
      <c r="H85">
        <v>77.467046999999354</v>
      </c>
      <c r="I85">
        <f>DTDRpat_result0__2[[#This Row],[gap of angle (rad)2]]*10000</f>
        <v>1.3804231298841068</v>
      </c>
      <c r="J85">
        <v>1.3804231298841067E-4</v>
      </c>
      <c r="K85" t="s">
        <v>8</v>
      </c>
      <c r="M85" t="s">
        <v>6</v>
      </c>
      <c r="N85">
        <v>77.467046999999354</v>
      </c>
      <c r="O85">
        <f>DTDRpat_result0__3[[#This Row],[gap of angle (rad)2]]*10000</f>
        <v>1.1509036850048877</v>
      </c>
      <c r="P85">
        <v>1.1509036850048876E-4</v>
      </c>
    </row>
    <row r="86" spans="1:16" x14ac:dyDescent="0.3">
      <c r="A86" t="s">
        <v>6</v>
      </c>
      <c r="B86">
        <v>79.358473000001183</v>
      </c>
      <c r="C86">
        <f>DTDRpat_result0_1[[#This Row],[gap of angle (rad)2]]*10000</f>
        <v>1.503008482030177</v>
      </c>
      <c r="D86">
        <v>1.5030084820301769E-4</v>
      </c>
      <c r="E86">
        <v>482.07611794546</v>
      </c>
      <c r="G86" t="s">
        <v>6</v>
      </c>
      <c r="H86">
        <v>79.358473000001183</v>
      </c>
      <c r="I86">
        <f>DTDRpat_result0__2[[#This Row],[gap of angle (rad)2]]*10000</f>
        <v>1.380886058336888</v>
      </c>
      <c r="J86">
        <v>1.380886058336888E-4</v>
      </c>
      <c r="K86" t="s">
        <v>7</v>
      </c>
      <c r="M86" t="s">
        <v>6</v>
      </c>
      <c r="N86">
        <v>79.358473000001183</v>
      </c>
      <c r="O86">
        <f>DTDRpat_result0__3[[#This Row],[gap of angle (rad)2]]*10000</f>
        <v>1.1447058942042156</v>
      </c>
      <c r="P86">
        <v>1.1447058942042156E-4</v>
      </c>
    </row>
    <row r="87" spans="1:16" x14ac:dyDescent="0.3">
      <c r="A87" t="s">
        <v>6</v>
      </c>
      <c r="B87">
        <v>79.358473000001183</v>
      </c>
      <c r="C87">
        <f>DTDRpat_result0_1[[#This Row],[gap of angle (rad)2]]*10000</f>
        <v>1.5117211447897798</v>
      </c>
      <c r="D87">
        <v>1.5117211447897798E-4</v>
      </c>
      <c r="E87">
        <v>480.68527100949422</v>
      </c>
      <c r="G87" t="s">
        <v>6</v>
      </c>
      <c r="H87">
        <v>79.358473000001183</v>
      </c>
      <c r="I87">
        <f>DTDRpat_result0__2[[#This Row],[gap of angle (rad)2]]*10000</f>
        <v>1.3915692949000149</v>
      </c>
      <c r="J87">
        <v>1.3915692949000149E-4</v>
      </c>
      <c r="K87" t="s">
        <v>8</v>
      </c>
      <c r="M87" t="s">
        <v>6</v>
      </c>
      <c r="N87">
        <v>79.358473000001183</v>
      </c>
      <c r="O87">
        <f>DTDRpat_result0__3[[#This Row],[gap of angle (rad)2]]*10000</f>
        <v>1.1519690758960976</v>
      </c>
      <c r="P87">
        <v>1.1519690758960978E-4</v>
      </c>
    </row>
    <row r="88" spans="1:16" x14ac:dyDescent="0.3">
      <c r="A88" t="s">
        <v>6</v>
      </c>
      <c r="B88">
        <v>81.24989900000304</v>
      </c>
      <c r="C88">
        <f>DTDRpat_result0_1[[#This Row],[gap of angle (rad)2]]*10000</f>
        <v>1.5204330086413893</v>
      </c>
      <c r="D88">
        <v>1.5204330086413892E-4</v>
      </c>
      <c r="E88">
        <v>479.30656768485215</v>
      </c>
      <c r="G88" t="s">
        <v>6</v>
      </c>
      <c r="H88">
        <v>81.24989900000304</v>
      </c>
      <c r="I88">
        <f>DTDRpat_result0__2[[#This Row],[gap of angle (rad)2]]*10000</f>
        <v>1.3919662020495889</v>
      </c>
      <c r="J88">
        <v>1.3919662020495888E-4</v>
      </c>
      <c r="K88" t="s">
        <v>7</v>
      </c>
      <c r="M88" t="s">
        <v>6</v>
      </c>
      <c r="N88">
        <v>81.24989900000304</v>
      </c>
      <c r="O88">
        <f>DTDRpat_result0__3[[#This Row],[gap of angle (rad)2]]*10000</f>
        <v>1.1467256350761987</v>
      </c>
      <c r="P88">
        <v>1.1467256350761987E-4</v>
      </c>
    </row>
    <row r="89" spans="1:16" x14ac:dyDescent="0.3">
      <c r="A89" t="s">
        <v>6</v>
      </c>
      <c r="B89">
        <v>81.24989900000304</v>
      </c>
      <c r="C89">
        <f>DTDRpat_result0_1[[#This Row],[gap of angle (rad)2]]*10000</f>
        <v>1.5278129557933033</v>
      </c>
      <c r="D89">
        <v>1.5278129557933033E-4</v>
      </c>
      <c r="E89">
        <v>478.14792633306502</v>
      </c>
      <c r="G89" t="s">
        <v>6</v>
      </c>
      <c r="H89">
        <v>81.24989900000304</v>
      </c>
      <c r="I89">
        <f>DTDRpat_result0__2[[#This Row],[gap of angle (rad)2]]*10000</f>
        <v>1.4009485422586978</v>
      </c>
      <c r="J89">
        <v>1.4009485422586979E-4</v>
      </c>
      <c r="K89" t="s">
        <v>8</v>
      </c>
      <c r="M89" t="s">
        <v>6</v>
      </c>
      <c r="N89">
        <v>81.24989900000304</v>
      </c>
      <c r="O89">
        <f>DTDRpat_result0__3[[#This Row],[gap of angle (rad)2]]*10000</f>
        <v>1.152758000831607</v>
      </c>
      <c r="P89">
        <v>1.152758000831607E-4</v>
      </c>
    </row>
    <row r="90" spans="1:16" x14ac:dyDescent="0.3">
      <c r="A90" t="s">
        <v>6</v>
      </c>
      <c r="B90">
        <v>83.141325000004883</v>
      </c>
      <c r="C90">
        <f>DTDRpat_result0_1[[#This Row],[gap of angle (rad)2]]*10000</f>
        <v>1.5350170827898713</v>
      </c>
      <c r="D90">
        <v>1.5350170827898712E-4</v>
      </c>
      <c r="E90">
        <v>477.02500642556203</v>
      </c>
      <c r="G90" t="s">
        <v>6</v>
      </c>
      <c r="H90">
        <v>83.141325000004883</v>
      </c>
      <c r="I90">
        <f>DTDRpat_result0__2[[#This Row],[gap of angle (rad)2]]*10000</f>
        <v>1.4012745541748064</v>
      </c>
      <c r="J90">
        <v>1.4012745541748065E-4</v>
      </c>
      <c r="K90" t="s">
        <v>7</v>
      </c>
      <c r="M90" t="s">
        <v>6</v>
      </c>
      <c r="N90">
        <v>83.141325000004883</v>
      </c>
      <c r="O90">
        <f>DTDRpat_result0__3[[#This Row],[gap of angle (rad)2]]*10000</f>
        <v>1.1484989642052028</v>
      </c>
      <c r="P90">
        <v>1.1484989642052028E-4</v>
      </c>
    </row>
    <row r="91" spans="1:16" x14ac:dyDescent="0.3">
      <c r="A91" t="s">
        <v>6</v>
      </c>
      <c r="B91">
        <v>83.141325000004883</v>
      </c>
      <c r="C91">
        <f>DTDRpat_result0_1[[#This Row],[gap of angle (rad)2]]*10000</f>
        <v>1.5409436776259029</v>
      </c>
      <c r="D91">
        <v>1.5409436776259028E-4</v>
      </c>
      <c r="E91">
        <v>476.10718509844162</v>
      </c>
      <c r="G91" t="s">
        <v>6</v>
      </c>
      <c r="H91">
        <v>83.141325000004883</v>
      </c>
      <c r="I91">
        <f>DTDRpat_result0__2[[#This Row],[gap of angle (rad)2]]*10000</f>
        <v>1.4084440493958901</v>
      </c>
      <c r="J91">
        <v>1.4084440493958902E-4</v>
      </c>
      <c r="K91" t="s">
        <v>8</v>
      </c>
      <c r="M91" t="s">
        <v>6</v>
      </c>
      <c r="N91">
        <v>83.141325000004883</v>
      </c>
      <c r="O91">
        <f>DTDRpat_result0__3[[#This Row],[gap of angle (rad)2]]*10000</f>
        <v>1.1532658672431502</v>
      </c>
      <c r="P91">
        <v>1.1532658672431501E-4</v>
      </c>
    </row>
    <row r="92" spans="1:16" x14ac:dyDescent="0.3">
      <c r="A92" t="s">
        <v>6</v>
      </c>
      <c r="B92">
        <v>85.020225000006718</v>
      </c>
      <c r="C92">
        <f>DTDRpat_result0_1[[#This Row],[gap of angle (rad)2]]*10000</f>
        <v>1.5464545784376864</v>
      </c>
      <c r="D92">
        <v>1.5464545784376864E-4</v>
      </c>
      <c r="E92">
        <v>475.25853807251116</v>
      </c>
      <c r="G92" t="s">
        <v>6</v>
      </c>
      <c r="H92">
        <v>85.020225000006718</v>
      </c>
      <c r="I92">
        <f>DTDRpat_result0__2[[#This Row],[gap of angle (rad)2]]*10000</f>
        <v>1.4086523322485032</v>
      </c>
      <c r="J92">
        <v>1.4086523322485032E-4</v>
      </c>
      <c r="K92" t="s">
        <v>7</v>
      </c>
      <c r="M92" t="s">
        <v>6</v>
      </c>
      <c r="N92">
        <v>85.020225000006718</v>
      </c>
      <c r="O92">
        <f>DTDRpat_result0__3[[#This Row],[gap of angle (rad)2]]*10000</f>
        <v>1.1500066033333696</v>
      </c>
      <c r="P92">
        <v>1.1500066033333695E-4</v>
      </c>
    </row>
    <row r="93" spans="1:16" x14ac:dyDescent="0.3">
      <c r="A93" t="s">
        <v>6</v>
      </c>
      <c r="B93">
        <v>85.020225000006718</v>
      </c>
      <c r="C93">
        <f>DTDRpat_result0_1[[#This Row],[gap of angle (rad)2]]*10000</f>
        <v>1.5508380789775169</v>
      </c>
      <c r="D93">
        <v>1.5508380789775169E-4</v>
      </c>
      <c r="E93">
        <v>474.58680707243167</v>
      </c>
      <c r="G93" t="s">
        <v>6</v>
      </c>
      <c r="H93">
        <v>85.020225000006718</v>
      </c>
      <c r="I93">
        <f>DTDRpat_result0__2[[#This Row],[gap of angle (rad)2]]*10000</f>
        <v>1.4139303568709802</v>
      </c>
      <c r="J93">
        <v>1.4139303568709802E-4</v>
      </c>
      <c r="K93" t="s">
        <v>8</v>
      </c>
      <c r="M93" t="s">
        <v>6</v>
      </c>
      <c r="N93">
        <v>85.020225000006718</v>
      </c>
      <c r="O93">
        <f>DTDRpat_result0__3[[#This Row],[gap of angle (rad)2]]*10000</f>
        <v>1.1534891867861887</v>
      </c>
      <c r="P93">
        <v>1.1534891867861888E-4</v>
      </c>
    </row>
    <row r="94" spans="1:16" x14ac:dyDescent="0.3">
      <c r="A94" t="s">
        <v>6</v>
      </c>
      <c r="B94">
        <v>86.899125000008539</v>
      </c>
      <c r="C94">
        <f>DTDRpat_result0_1[[#This Row],[gap of angle (rad)2]]*10000</f>
        <v>1.5546594086023018</v>
      </c>
      <c r="D94">
        <v>1.5546594086023017E-4</v>
      </c>
      <c r="E94">
        <v>474.00362902797389</v>
      </c>
      <c r="G94" t="s">
        <v>6</v>
      </c>
      <c r="H94">
        <v>86.899125000008539</v>
      </c>
      <c r="I94">
        <f>DTDRpat_result0__2[[#This Row],[gap of angle (rad)2]]*10000</f>
        <v>1.4140742223844747</v>
      </c>
      <c r="J94">
        <v>1.4140742223844746E-4</v>
      </c>
      <c r="K94" t="s">
        <v>7</v>
      </c>
      <c r="M94" t="s">
        <v>6</v>
      </c>
      <c r="N94">
        <v>86.899125000008539</v>
      </c>
      <c r="O94">
        <f>DTDRpat_result0__3[[#This Row],[gap of angle (rad)2]]*10000</f>
        <v>1.1512526050882057</v>
      </c>
      <c r="P94">
        <v>1.1512526050882058E-4</v>
      </c>
    </row>
    <row r="95" spans="1:16" x14ac:dyDescent="0.3">
      <c r="A95" t="s">
        <v>6</v>
      </c>
      <c r="B95">
        <v>86.899125000008539</v>
      </c>
      <c r="C95">
        <f>DTDRpat_result0_1[[#This Row],[gap of angle (rad)2]]*10000</f>
        <v>1.5574246811127035</v>
      </c>
      <c r="D95">
        <v>1.5574246811127034E-4</v>
      </c>
      <c r="E95">
        <v>473.583052714833</v>
      </c>
      <c r="G95" t="s">
        <v>6</v>
      </c>
      <c r="H95">
        <v>86.899125000008539</v>
      </c>
      <c r="I95">
        <f>DTDRpat_result0__2[[#This Row],[gap of angle (rad)2]]*10000</f>
        <v>1.4173930414547051</v>
      </c>
      <c r="J95">
        <v>1.4173930414547052E-4</v>
      </c>
      <c r="K95" t="s">
        <v>8</v>
      </c>
      <c r="M95" t="s">
        <v>6</v>
      </c>
      <c r="N95">
        <v>86.899125000008539</v>
      </c>
      <c r="O95">
        <f>DTDRpat_result0__3[[#This Row],[gap of angle (rad)2]]*10000</f>
        <v>1.1534309642327303</v>
      </c>
      <c r="P95">
        <v>1.1534309642327304E-4</v>
      </c>
    </row>
    <row r="96" spans="1:16" x14ac:dyDescent="0.3">
      <c r="A96" t="s">
        <v>6</v>
      </c>
      <c r="B96">
        <v>88.790551000010367</v>
      </c>
      <c r="C96">
        <f>DTDRpat_result0_1[[#This Row],[gap of angle (rad)2]]*10000</f>
        <v>1.5595109675374601</v>
      </c>
      <c r="D96">
        <v>1.55951096753746E-4</v>
      </c>
      <c r="E96">
        <v>473.26663097215339</v>
      </c>
      <c r="G96" t="s">
        <v>6</v>
      </c>
      <c r="H96">
        <v>88.790551000010367</v>
      </c>
      <c r="I96">
        <f>DTDRpat_result0__2[[#This Row],[gap of angle (rad)2]]*10000</f>
        <v>1.4174863511522617</v>
      </c>
      <c r="J96">
        <v>1.4174863511522617E-4</v>
      </c>
      <c r="K96" t="s">
        <v>7</v>
      </c>
      <c r="M96" t="s">
        <v>6</v>
      </c>
      <c r="N96">
        <v>88.790551000010367</v>
      </c>
      <c r="O96">
        <f>DTDRpat_result0__3[[#This Row],[gap of angle (rad)2]]*10000</f>
        <v>1.1522354768590415</v>
      </c>
      <c r="P96">
        <v>1.1522354768590415E-4</v>
      </c>
    </row>
    <row r="97" spans="1:16" x14ac:dyDescent="0.3">
      <c r="A97" t="s">
        <v>6</v>
      </c>
      <c r="B97">
        <v>88.790551000010367</v>
      </c>
      <c r="C97">
        <f>DTDRpat_result0_1[[#This Row],[gap of angle (rad)2]]*10000</f>
        <v>1.5605986063012423</v>
      </c>
      <c r="D97">
        <v>1.5605986063012422E-4</v>
      </c>
      <c r="E97">
        <v>473.10210819729724</v>
      </c>
      <c r="G97" t="s">
        <v>6</v>
      </c>
      <c r="H97">
        <v>88.790551000010367</v>
      </c>
      <c r="I97">
        <f>DTDRpat_result0__2[[#This Row],[gap of angle (rad)2]]*10000</f>
        <v>1.4187893976688557</v>
      </c>
      <c r="J97">
        <v>1.4187893976688558E-4</v>
      </c>
      <c r="K97" t="s">
        <v>8</v>
      </c>
      <c r="M97" t="s">
        <v>6</v>
      </c>
      <c r="N97">
        <v>88.790551000010367</v>
      </c>
      <c r="O97">
        <f>DTDRpat_result0__3[[#This Row],[gap of angle (rad)2]]*10000</f>
        <v>1.1530883551162188</v>
      </c>
      <c r="P97">
        <v>1.1530883551162187E-4</v>
      </c>
    </row>
    <row r="98" spans="1:16" x14ac:dyDescent="0.3">
      <c r="A98" t="s">
        <v>6</v>
      </c>
      <c r="B98">
        <v>90.681977000012225</v>
      </c>
      <c r="C98">
        <f>DTDRpat_result0_1[[#This Row],[gap of angle (rad)2]]*10000</f>
        <v>1.5608575588335951</v>
      </c>
      <c r="D98">
        <v>1.5608575588335952E-4</v>
      </c>
      <c r="E98">
        <v>473.06332234307791</v>
      </c>
      <c r="G98" t="s">
        <v>6</v>
      </c>
      <c r="H98">
        <v>90.681977000012225</v>
      </c>
      <c r="I98">
        <f>DTDRpat_result0__2[[#This Row],[gap of angle (rad)2]]*10000</f>
        <v>1.418800955358366</v>
      </c>
      <c r="J98">
        <v>1.4188009553583661E-4</v>
      </c>
      <c r="K98" t="s">
        <v>7</v>
      </c>
      <c r="M98" t="s">
        <v>6</v>
      </c>
      <c r="N98">
        <v>90.681977000012225</v>
      </c>
      <c r="O98">
        <f>DTDRpat_result0__3[[#This Row],[gap of angle (rad)2]]*10000</f>
        <v>1.1529403304302956</v>
      </c>
      <c r="P98">
        <v>1.1529403304302956E-4</v>
      </c>
    </row>
    <row r="99" spans="1:16" x14ac:dyDescent="0.3">
      <c r="A99" t="s">
        <v>6</v>
      </c>
      <c r="B99">
        <v>90.681977000012225</v>
      </c>
      <c r="C99">
        <f>DTDRpat_result0_1[[#This Row],[gap of angle (rad)2]]*10000</f>
        <v>1.5602481484925601</v>
      </c>
      <c r="D99">
        <v>1.5602481484925602E-4</v>
      </c>
      <c r="E99">
        <v>473.15612591813925</v>
      </c>
      <c r="G99" t="s">
        <v>6</v>
      </c>
      <c r="H99">
        <v>90.681977000012225</v>
      </c>
      <c r="I99">
        <f>DTDRpat_result0__2[[#This Row],[gap of angle (rad)2]]*10000</f>
        <v>1.4180710163254373</v>
      </c>
      <c r="J99">
        <v>1.4180710163254372E-4</v>
      </c>
      <c r="K99" t="s">
        <v>8</v>
      </c>
      <c r="M99" t="s">
        <v>6</v>
      </c>
      <c r="N99">
        <v>90.681977000012225</v>
      </c>
      <c r="O99">
        <f>DTDRpat_result0__3[[#This Row],[gap of angle (rad)2]]*10000</f>
        <v>1.152462724231625</v>
      </c>
      <c r="P99">
        <v>1.1524627242316251E-4</v>
      </c>
    </row>
    <row r="100" spans="1:16" x14ac:dyDescent="0.3">
      <c r="A100" t="s">
        <v>6</v>
      </c>
      <c r="B100">
        <v>92.573403000014096</v>
      </c>
      <c r="C100">
        <f>DTDRpat_result0_1[[#This Row],[gap of angle (rad)2]]*10000</f>
        <v>1.5586751526579292</v>
      </c>
      <c r="D100">
        <v>1.5586751526579291E-4</v>
      </c>
      <c r="E100">
        <v>473.39527623550845</v>
      </c>
      <c r="G100" t="s">
        <v>6</v>
      </c>
      <c r="H100">
        <v>92.573403000014096</v>
      </c>
      <c r="I100">
        <f>DTDRpat_result0__2[[#This Row],[gap of angle (rad)2]]*10000</f>
        <v>1.418000677880136</v>
      </c>
      <c r="J100">
        <v>1.418000677880136E-4</v>
      </c>
      <c r="K100" t="s">
        <v>7</v>
      </c>
      <c r="M100" t="s">
        <v>6</v>
      </c>
      <c r="N100">
        <v>92.573403000014096</v>
      </c>
      <c r="O100">
        <f>DTDRpat_result0__3[[#This Row],[gap of angle (rad)2]]*10000</f>
        <v>1.1533631031917169</v>
      </c>
      <c r="P100">
        <v>1.1533631031917168E-4</v>
      </c>
    </row>
    <row r="101" spans="1:16" x14ac:dyDescent="0.3">
      <c r="A101" t="s">
        <v>6</v>
      </c>
      <c r="B101">
        <v>92.573403000014096</v>
      </c>
      <c r="C101">
        <f>DTDRpat_result0_1[[#This Row],[gap of angle (rad)2]]*10000</f>
        <v>1.5563795725338141</v>
      </c>
      <c r="D101">
        <v>1.5563795725338141E-4</v>
      </c>
      <c r="E101">
        <v>473.74468780834036</v>
      </c>
      <c r="G101" t="s">
        <v>6</v>
      </c>
      <c r="H101">
        <v>92.573403000014096</v>
      </c>
      <c r="I101">
        <f>DTDRpat_result0__2[[#This Row],[gap of angle (rad)2]]*10000</f>
        <v>1.4152473934294918</v>
      </c>
      <c r="J101">
        <v>1.4152473934294919E-4</v>
      </c>
      <c r="K101" t="s">
        <v>8</v>
      </c>
      <c r="M101" t="s">
        <v>6</v>
      </c>
      <c r="N101">
        <v>92.573403000014096</v>
      </c>
      <c r="O101">
        <f>DTDRpat_result0__3[[#This Row],[gap of angle (rad)2]]*10000</f>
        <v>1.1515578137948188</v>
      </c>
      <c r="P101">
        <v>1.1515578137948187E-4</v>
      </c>
    </row>
    <row r="102" spans="1:16" x14ac:dyDescent="0.3">
      <c r="A102" t="s">
        <v>6</v>
      </c>
      <c r="B102">
        <v>94.452303000016087</v>
      </c>
      <c r="C102">
        <f>DTDRpat_result0_1[[#This Row],[gap of angle (rad)2]]*10000</f>
        <v>1.5530515217967622</v>
      </c>
      <c r="D102">
        <v>1.5530515217967623E-4</v>
      </c>
      <c r="E102">
        <v>474.25245933273789</v>
      </c>
      <c r="G102" t="s">
        <v>6</v>
      </c>
      <c r="H102">
        <v>94.452303000016087</v>
      </c>
      <c r="I102">
        <f>DTDRpat_result0__2[[#This Row],[gap of angle (rad)2]]*10000</f>
        <v>1.415122240956431</v>
      </c>
      <c r="J102">
        <v>1.4151222409564311E-4</v>
      </c>
      <c r="K102" t="s">
        <v>7</v>
      </c>
      <c r="M102" t="s">
        <v>6</v>
      </c>
      <c r="N102">
        <v>94.452303000016087</v>
      </c>
      <c r="O102">
        <f>DTDRpat_result0__3[[#This Row],[gap of angle (rad)2]]*10000</f>
        <v>1.1535013044849518</v>
      </c>
      <c r="P102">
        <v>1.1535013044849517E-4</v>
      </c>
    </row>
    <row r="103" spans="1:16" x14ac:dyDescent="0.3">
      <c r="A103" t="s">
        <v>6</v>
      </c>
      <c r="B103">
        <v>94.452303000016087</v>
      </c>
      <c r="C103">
        <f>DTDRpat_result0_1[[#This Row],[gap of angle (rad)2]]*10000</f>
        <v>1.5491211932034479</v>
      </c>
      <c r="D103">
        <v>1.5491211932034478E-4</v>
      </c>
      <c r="E103">
        <v>474.85411482453839</v>
      </c>
      <c r="G103" t="s">
        <v>6</v>
      </c>
      <c r="H103">
        <v>94.452303000016087</v>
      </c>
      <c r="I103">
        <f>DTDRpat_result0__2[[#This Row],[gap of angle (rad)2]]*10000</f>
        <v>1.4103949002949536</v>
      </c>
      <c r="J103">
        <v>1.4103949002949536E-4</v>
      </c>
      <c r="K103" t="s">
        <v>8</v>
      </c>
      <c r="M103" t="s">
        <v>6</v>
      </c>
      <c r="N103">
        <v>94.452303000016087</v>
      </c>
      <c r="O103">
        <f>DTDRpat_result0__3[[#This Row],[gap of angle (rad)2]]*10000</f>
        <v>1.1503874797297036</v>
      </c>
      <c r="P103">
        <v>1.1503874797297036E-4</v>
      </c>
    </row>
    <row r="104" spans="1:16" x14ac:dyDescent="0.3">
      <c r="A104" t="s">
        <v>6</v>
      </c>
      <c r="B104">
        <v>96.331203000018064</v>
      </c>
      <c r="C104">
        <f>DTDRpat_result0_1[[#This Row],[gap of angle (rad)2]]*10000</f>
        <v>1.5440818652770425</v>
      </c>
      <c r="D104">
        <v>1.5440818652770426E-4</v>
      </c>
      <c r="E104">
        <v>475.62879598070816</v>
      </c>
      <c r="G104" t="s">
        <v>6</v>
      </c>
      <c r="H104">
        <v>96.331203000018064</v>
      </c>
      <c r="I104">
        <f>DTDRpat_result0__2[[#This Row],[gap of angle (rad)2]]*10000</f>
        <v>1.4102046910295729</v>
      </c>
      <c r="J104">
        <v>1.410204691029573E-4</v>
      </c>
      <c r="K104" t="s">
        <v>7</v>
      </c>
      <c r="M104" t="s">
        <v>6</v>
      </c>
      <c r="N104">
        <v>96.331203000018064</v>
      </c>
      <c r="O104">
        <f>DTDRpat_result0__3[[#This Row],[gap of angle (rad)2]]*10000</f>
        <v>1.1533579051601175</v>
      </c>
      <c r="P104">
        <v>1.1533579051601175E-4</v>
      </c>
    </row>
    <row r="105" spans="1:16" x14ac:dyDescent="0.3">
      <c r="A105" t="s">
        <v>6</v>
      </c>
      <c r="B105">
        <v>96.331203000018064</v>
      </c>
      <c r="C105">
        <f>DTDRpat_result0_1[[#This Row],[gap of angle (rad)2]]*10000</f>
        <v>1.5385845248662786</v>
      </c>
      <c r="D105">
        <v>1.5385845248662785E-4</v>
      </c>
      <c r="E105">
        <v>476.47814727151194</v>
      </c>
      <c r="G105" t="s">
        <v>6</v>
      </c>
      <c r="H105">
        <v>96.331203000018064</v>
      </c>
      <c r="I105">
        <f>DTDRpat_result0__2[[#This Row],[gap of angle (rad)2]]*10000</f>
        <v>1.4035642387532896</v>
      </c>
      <c r="J105">
        <v>1.4035642387532897E-4</v>
      </c>
      <c r="K105" t="s">
        <v>8</v>
      </c>
      <c r="M105" t="s">
        <v>6</v>
      </c>
      <c r="N105">
        <v>96.331203000018064</v>
      </c>
      <c r="O105">
        <f>DTDRpat_result0__3[[#This Row],[gap of angle (rad)2]]*10000</f>
        <v>1.1489533460016181</v>
      </c>
      <c r="P105">
        <v>1.148953346001618E-4</v>
      </c>
    </row>
    <row r="106" spans="1:16" x14ac:dyDescent="0.3">
      <c r="A106" t="s">
        <v>6</v>
      </c>
      <c r="B106">
        <v>98.228892000020082</v>
      </c>
      <c r="C106">
        <f>DTDRpat_result0_1[[#This Row],[gap of angle (rad)2]]*10000</f>
        <v>1.5317827888038533</v>
      </c>
      <c r="D106">
        <v>1.5317827888038533E-4</v>
      </c>
      <c r="E106">
        <v>477.53528681508664</v>
      </c>
      <c r="G106" t="s">
        <v>6</v>
      </c>
      <c r="H106">
        <v>98.228892000020082</v>
      </c>
      <c r="I106">
        <f>DTDRpat_result0__2[[#This Row],[gap of angle (rad)2]]*10000</f>
        <v>1.4032327774157329</v>
      </c>
      <c r="J106">
        <v>1.4032327774157329E-4</v>
      </c>
      <c r="K106" t="s">
        <v>7</v>
      </c>
      <c r="M106" t="s">
        <v>6</v>
      </c>
      <c r="N106">
        <v>98.228892000020082</v>
      </c>
      <c r="O106">
        <f>DTDRpat_result0__3[[#This Row],[gap of angle (rad)2]]*10000</f>
        <v>1.152928052761979</v>
      </c>
      <c r="P106">
        <v>1.1529280527619789E-4</v>
      </c>
    </row>
    <row r="107" spans="1:16" x14ac:dyDescent="0.3">
      <c r="A107" t="s">
        <v>6</v>
      </c>
      <c r="B107">
        <v>98.228892000020082</v>
      </c>
      <c r="C107">
        <f>DTDRpat_result0_1[[#This Row],[gap of angle (rad)2]]*10000</f>
        <v>1.5247967928524322</v>
      </c>
      <c r="D107">
        <v>1.5247967928524322E-4</v>
      </c>
      <c r="E107">
        <v>478.62835774872525</v>
      </c>
      <c r="G107" t="s">
        <v>6</v>
      </c>
      <c r="H107">
        <v>98.228892000020082</v>
      </c>
      <c r="I107">
        <f>DTDRpat_result0__2[[#This Row],[gap of angle (rad)2]]*10000</f>
        <v>1.3947455526224526</v>
      </c>
      <c r="J107">
        <v>1.3947455526224525E-4</v>
      </c>
      <c r="K107" t="s">
        <v>8</v>
      </c>
      <c r="M107" t="s">
        <v>6</v>
      </c>
      <c r="N107">
        <v>98.228892000020082</v>
      </c>
      <c r="O107">
        <f>DTDRpat_result0__3[[#This Row],[gap of angle (rad)2]]*10000</f>
        <v>1.1472454041150271</v>
      </c>
      <c r="P107">
        <v>1.1472454041150271E-4</v>
      </c>
    </row>
    <row r="108" spans="1:16" x14ac:dyDescent="0.3">
      <c r="A108" t="s">
        <v>6</v>
      </c>
      <c r="B108">
        <v>100.12031800002208</v>
      </c>
      <c r="C108">
        <f>DTDRpat_result0_1[[#This Row],[gap of angle (rad)2]]*10000</f>
        <v>1.5164921278805823</v>
      </c>
      <c r="D108">
        <v>1.5164921278805824E-4</v>
      </c>
      <c r="E108">
        <v>479.93751943120236</v>
      </c>
      <c r="G108" t="s">
        <v>6</v>
      </c>
      <c r="H108">
        <v>100.12031800002208</v>
      </c>
      <c r="I108">
        <f>DTDRpat_result0__2[[#This Row],[gap of angle (rad)2]]*10000</f>
        <v>1.3943679647783072</v>
      </c>
      <c r="J108">
        <v>1.3943679647783071E-4</v>
      </c>
      <c r="K108" t="s">
        <v>7</v>
      </c>
      <c r="M108" t="s">
        <v>6</v>
      </c>
      <c r="N108">
        <v>100.12031800002208</v>
      </c>
      <c r="O108">
        <f>DTDRpat_result0__3[[#This Row],[gap of angle (rad)2]]*10000</f>
        <v>1.152217121307981</v>
      </c>
      <c r="P108">
        <v>1.1522171213079811E-4</v>
      </c>
    </row>
    <row r="109" spans="1:16" x14ac:dyDescent="0.3">
      <c r="A109" t="s">
        <v>6</v>
      </c>
      <c r="B109">
        <v>100.12031800002208</v>
      </c>
      <c r="C109">
        <f>DTDRpat_result0_1[[#This Row],[gap of angle (rad)2]]*10000</f>
        <v>1.508137986487019</v>
      </c>
      <c r="D109">
        <v>1.5081379864870191E-4</v>
      </c>
      <c r="E109">
        <v>481.26532968029431</v>
      </c>
      <c r="G109" t="s">
        <v>6</v>
      </c>
      <c r="H109">
        <v>100.12031800002208</v>
      </c>
      <c r="I109">
        <f>DTDRpat_result0__2[[#This Row],[gap of angle (rad)2]]*10000</f>
        <v>1.3841467507026648</v>
      </c>
      <c r="J109">
        <v>1.3841467507026649E-4</v>
      </c>
      <c r="K109" t="s">
        <v>8</v>
      </c>
      <c r="M109" t="s">
        <v>6</v>
      </c>
      <c r="N109">
        <v>100.12031800002208</v>
      </c>
      <c r="O109">
        <f>DTDRpat_result0__3[[#This Row],[gap of angle (rad)2]]*10000</f>
        <v>1.1452932848144126</v>
      </c>
      <c r="P109">
        <v>1.1452932848144127E-4</v>
      </c>
    </row>
    <row r="110" spans="1:16" x14ac:dyDescent="0.3">
      <c r="A110" t="s">
        <v>6</v>
      </c>
      <c r="B110">
        <v>101.99921800002406</v>
      </c>
      <c r="C110">
        <f>DTDRpat_result0_1[[#This Row],[gap of angle (rad)2]]*10000</f>
        <v>1.498552744672361</v>
      </c>
      <c r="D110">
        <v>1.4985527446723611E-4</v>
      </c>
      <c r="E110">
        <v>482.80242453738867</v>
      </c>
      <c r="G110" t="s">
        <v>6</v>
      </c>
      <c r="H110">
        <v>101.99921800002406</v>
      </c>
      <c r="I110">
        <f>DTDRpat_result0__2[[#This Row],[gap of angle (rad)2]]*10000</f>
        <v>1.3837779926120979</v>
      </c>
      <c r="J110">
        <v>1.3837779926120978E-4</v>
      </c>
      <c r="K110" t="s">
        <v>7</v>
      </c>
      <c r="M110" t="s">
        <v>6</v>
      </c>
      <c r="N110">
        <v>101.99921800002406</v>
      </c>
      <c r="O110">
        <f>DTDRpat_result0__3[[#This Row],[gap of angle (rad)2]]*10000</f>
        <v>1.1512357190045712</v>
      </c>
      <c r="P110">
        <v>1.1512357190045712E-4</v>
      </c>
    </row>
    <row r="111" spans="1:16" x14ac:dyDescent="0.3">
      <c r="A111" t="s">
        <v>6</v>
      </c>
      <c r="B111">
        <v>101.99921800002406</v>
      </c>
      <c r="C111">
        <f>DTDRpat_result0_1[[#This Row],[gap of angle (rad)2]]*10000</f>
        <v>1.4889707200226003</v>
      </c>
      <c r="D111">
        <v>1.4889707200226002E-4</v>
      </c>
      <c r="E111">
        <v>484.35377727840859</v>
      </c>
      <c r="G111" t="s">
        <v>6</v>
      </c>
      <c r="H111">
        <v>101.99921800002406</v>
      </c>
      <c r="I111">
        <f>DTDRpat_result0__2[[#This Row],[gap of angle (rad)2]]*10000</f>
        <v>1.3719576888717961</v>
      </c>
      <c r="J111">
        <v>1.3719576888717962E-4</v>
      </c>
      <c r="K111" t="s">
        <v>8</v>
      </c>
      <c r="M111" t="s">
        <v>6</v>
      </c>
      <c r="N111">
        <v>101.99921800002406</v>
      </c>
      <c r="O111">
        <f>DTDRpat_result0__3[[#This Row],[gap of angle (rad)2]]*10000</f>
        <v>1.1431181046133241</v>
      </c>
      <c r="P111">
        <v>1.1431181046133241E-4</v>
      </c>
    </row>
    <row r="112" spans="1:16" x14ac:dyDescent="0.3">
      <c r="A112" t="s">
        <v>6</v>
      </c>
      <c r="B112">
        <v>103.87811800002605</v>
      </c>
      <c r="C112">
        <f>DTDRpat_result0_1[[#This Row],[gap of angle (rad)2]]*10000</f>
        <v>1.4781506002792066</v>
      </c>
      <c r="D112">
        <v>1.4781506002792066E-4</v>
      </c>
      <c r="E112">
        <v>486.12364957001427</v>
      </c>
      <c r="G112" t="s">
        <v>6</v>
      </c>
      <c r="H112">
        <v>103.87811800002605</v>
      </c>
      <c r="I112">
        <f>DTDRpat_result0__2[[#This Row],[gap of angle (rad)2]]*10000</f>
        <v>1.3715377579994557</v>
      </c>
      <c r="J112">
        <v>1.3715377579994557E-4</v>
      </c>
      <c r="K112" t="s">
        <v>7</v>
      </c>
      <c r="M112" t="s">
        <v>6</v>
      </c>
      <c r="N112">
        <v>103.87811800002605</v>
      </c>
      <c r="O112">
        <f>DTDRpat_result0__3[[#This Row],[gap of angle (rad)2]]*10000</f>
        <v>1.1499857117624297</v>
      </c>
      <c r="P112">
        <v>1.1499857117624297E-4</v>
      </c>
    </row>
    <row r="113" spans="1:16" x14ac:dyDescent="0.3">
      <c r="A113" t="s">
        <v>6</v>
      </c>
      <c r="B113">
        <v>103.87811800002605</v>
      </c>
      <c r="C113">
        <f>DTDRpat_result0_1[[#This Row],[gap of angle (rad)2]]*10000</f>
        <v>1.4674837185842364</v>
      </c>
      <c r="D113">
        <v>1.4674837185842365E-4</v>
      </c>
      <c r="E113">
        <v>487.88754527573923</v>
      </c>
      <c r="G113" t="s">
        <v>6</v>
      </c>
      <c r="H113">
        <v>103.87811800002605</v>
      </c>
      <c r="I113">
        <f>DTDRpat_result0__2[[#This Row],[gap of angle (rad)2]]*10000</f>
        <v>1.3582559411160449</v>
      </c>
      <c r="J113">
        <v>1.3582559411160448E-4</v>
      </c>
      <c r="K113" t="s">
        <v>8</v>
      </c>
      <c r="M113" t="s">
        <v>6</v>
      </c>
      <c r="N113">
        <v>103.87811800002605</v>
      </c>
      <c r="O113">
        <f>DTDRpat_result0__3[[#This Row],[gap of angle (rad)2]]*10000</f>
        <v>1.1407197553999153</v>
      </c>
      <c r="P113">
        <v>1.1407197553999153E-4</v>
      </c>
    </row>
    <row r="114" spans="1:16" x14ac:dyDescent="0.3">
      <c r="A114" t="s">
        <v>6</v>
      </c>
      <c r="B114">
        <v>105.75701800002803</v>
      </c>
      <c r="C114">
        <f>DTDRpat_result0_1[[#This Row],[gap of angle (rad)2]]*10000</f>
        <v>1.4555858978620495</v>
      </c>
      <c r="D114">
        <v>1.4555858978620496E-4</v>
      </c>
      <c r="E114">
        <v>489.87779060465482</v>
      </c>
      <c r="G114" t="s">
        <v>6</v>
      </c>
      <c r="H114">
        <v>105.75701800002803</v>
      </c>
      <c r="I114">
        <f>DTDRpat_result0__2[[#This Row],[gap of angle (rad)2]]*10000</f>
        <v>1.357789622565531</v>
      </c>
      <c r="J114">
        <v>1.3577896225655311E-4</v>
      </c>
      <c r="K114" t="s">
        <v>7</v>
      </c>
      <c r="M114" t="s">
        <v>6</v>
      </c>
      <c r="N114">
        <v>105.75701800002803</v>
      </c>
      <c r="O114">
        <f>DTDRpat_result0__3[[#This Row],[gap of angle (rad)2]]*10000</f>
        <v>1.1484741687731315</v>
      </c>
      <c r="P114">
        <v>1.1484741687731314E-4</v>
      </c>
    </row>
    <row r="115" spans="1:16" x14ac:dyDescent="0.3">
      <c r="A115" t="s">
        <v>6</v>
      </c>
      <c r="B115">
        <v>105.75701800002803</v>
      </c>
      <c r="C115">
        <f>DTDRpat_result0_1[[#This Row],[gap of angle (rad)2]]*10000</f>
        <v>1.4439847615473016</v>
      </c>
      <c r="D115">
        <v>1.4439847615473016E-4</v>
      </c>
      <c r="E115">
        <v>491.84201735243374</v>
      </c>
      <c r="G115" t="s">
        <v>6</v>
      </c>
      <c r="H115">
        <v>105.75701800002803</v>
      </c>
      <c r="I115">
        <f>DTDRpat_result0__2[[#This Row],[gap of angle (rad)2]]*10000</f>
        <v>1.3431949856413368</v>
      </c>
      <c r="J115">
        <v>1.3431949856413368E-4</v>
      </c>
      <c r="K115" t="s">
        <v>8</v>
      </c>
      <c r="M115" t="s">
        <v>6</v>
      </c>
      <c r="N115">
        <v>105.75701800002803</v>
      </c>
      <c r="O115">
        <f>DTDRpat_result0__3[[#This Row],[gap of angle (rad)2]]*10000</f>
        <v>1.1381112929984638</v>
      </c>
      <c r="P115">
        <v>1.1381112929984638E-4</v>
      </c>
    </row>
    <row r="116" spans="1:16" x14ac:dyDescent="0.3">
      <c r="A116" t="s">
        <v>6</v>
      </c>
      <c r="B116">
        <v>107.65470700003004</v>
      </c>
      <c r="C116">
        <f>DTDRpat_result0_1[[#This Row],[gap of angle (rad)2]]*10000</f>
        <v>1.4309197249144525</v>
      </c>
      <c r="D116">
        <v>1.4309197249144526E-4</v>
      </c>
      <c r="E116">
        <v>494.08260945202818</v>
      </c>
      <c r="G116" t="s">
        <v>6</v>
      </c>
      <c r="H116">
        <v>107.65470700003004</v>
      </c>
      <c r="I116">
        <f>DTDRpat_result0__2[[#This Row],[gap of angle (rad)2]]*10000</f>
        <v>1.3425300981837973</v>
      </c>
      <c r="J116">
        <v>1.3425300981837973E-4</v>
      </c>
      <c r="K116" t="s">
        <v>7</v>
      </c>
      <c r="M116" t="s">
        <v>6</v>
      </c>
      <c r="N116">
        <v>107.65470700003004</v>
      </c>
      <c r="O116">
        <f>DTDRpat_result0__3[[#This Row],[gap of angle (rad)2]]*10000</f>
        <v>1.1466907611357309</v>
      </c>
      <c r="P116">
        <v>1.1466907611357308E-4</v>
      </c>
    </row>
    <row r="117" spans="1:16" x14ac:dyDescent="0.3">
      <c r="A117" t="s">
        <v>6</v>
      </c>
      <c r="B117">
        <v>107.65470700003004</v>
      </c>
      <c r="C117">
        <f>DTDRpat_result0_1[[#This Row],[gap of angle (rad)2]]*10000</f>
        <v>1.4185309644263149</v>
      </c>
      <c r="D117">
        <v>1.4185309644263149E-4</v>
      </c>
      <c r="E117">
        <v>496.2357248053479</v>
      </c>
      <c r="G117" t="s">
        <v>6</v>
      </c>
      <c r="H117">
        <v>107.65470700003004</v>
      </c>
      <c r="I117">
        <f>DTDRpat_result0__2[[#This Row],[gap of angle (rad)2]]*10000</f>
        <v>1.3267679726699428</v>
      </c>
      <c r="J117">
        <v>1.3267679726699429E-4</v>
      </c>
      <c r="K117" t="s">
        <v>8</v>
      </c>
      <c r="M117" t="s">
        <v>6</v>
      </c>
      <c r="N117">
        <v>107.65470700003004</v>
      </c>
      <c r="O117">
        <f>DTDRpat_result0__3[[#This Row],[gap of angle (rad)2]]*10000</f>
        <v>1.1352778715613236</v>
      </c>
      <c r="P117">
        <v>1.1352778715613238E-4</v>
      </c>
    </row>
    <row r="118" spans="1:16" x14ac:dyDescent="0.3">
      <c r="A118" t="s">
        <v>6</v>
      </c>
      <c r="B118">
        <v>109.54613300003204</v>
      </c>
      <c r="C118">
        <f>DTDRpat_result0_1[[#This Row],[gap of angle (rad)2]]*10000</f>
        <v>1.4047832930548423</v>
      </c>
      <c r="D118">
        <v>1.4047832930548423E-4</v>
      </c>
      <c r="E118">
        <v>498.65825326513948</v>
      </c>
      <c r="G118" t="s">
        <v>6</v>
      </c>
      <c r="H118">
        <v>109.54613300003204</v>
      </c>
      <c r="I118">
        <f>DTDRpat_result0__2[[#This Row],[gap of angle (rad)2]]*10000</f>
        <v>1.3261117688924235</v>
      </c>
      <c r="J118">
        <v>1.3261117688924236E-4</v>
      </c>
      <c r="K118" t="s">
        <v>7</v>
      </c>
      <c r="M118" t="s">
        <v>6</v>
      </c>
      <c r="N118">
        <v>109.54613300003204</v>
      </c>
      <c r="O118">
        <f>DTDRpat_result0__3[[#This Row],[gap of angle (rad)2]]*10000</f>
        <v>1.1446666135432979</v>
      </c>
      <c r="P118">
        <v>1.1446666135432979E-4</v>
      </c>
    </row>
    <row r="119" spans="1:16" x14ac:dyDescent="0.3">
      <c r="A119" t="s">
        <v>6</v>
      </c>
      <c r="B119">
        <v>109.54613300003204</v>
      </c>
      <c r="C119">
        <f>DTDRpat_result0_1[[#This Row],[gap of angle (rad)2]]*10000</f>
        <v>1.3917645319061382</v>
      </c>
      <c r="D119">
        <v>1.3917645319061383E-4</v>
      </c>
      <c r="E119">
        <v>500.98532276099303</v>
      </c>
      <c r="G119" t="s">
        <v>6</v>
      </c>
      <c r="H119">
        <v>109.54613300003204</v>
      </c>
      <c r="I119">
        <f>DTDRpat_result0__2[[#This Row],[gap of angle (rad)2]]*10000</f>
        <v>1.309348729637885</v>
      </c>
      <c r="J119">
        <v>1.309348729637885E-4</v>
      </c>
      <c r="K119" t="s">
        <v>8</v>
      </c>
      <c r="M119" t="s">
        <v>6</v>
      </c>
      <c r="N119">
        <v>109.54613300003204</v>
      </c>
      <c r="O119">
        <f>DTDRpat_result0__3[[#This Row],[gap of angle (rad)2]]*10000</f>
        <v>1.1322701636082553</v>
      </c>
      <c r="P119">
        <v>1.1322701636082553E-4</v>
      </c>
    </row>
    <row r="120" spans="1:16" x14ac:dyDescent="0.3">
      <c r="A120" t="s">
        <v>6</v>
      </c>
      <c r="B120">
        <v>111.43755900003404</v>
      </c>
      <c r="C120">
        <f>DTDRpat_result0_1[[#This Row],[gap of angle (rad)2]]*10000</f>
        <v>1.3774180444104358</v>
      </c>
      <c r="D120">
        <v>1.3774180444104357E-4</v>
      </c>
      <c r="E120">
        <v>503.58781181291164</v>
      </c>
      <c r="G120" t="s">
        <v>6</v>
      </c>
      <c r="H120">
        <v>111.43755900003404</v>
      </c>
      <c r="I120">
        <f>DTDRpat_result0__2[[#This Row],[gap of angle (rad)2]]*10000</f>
        <v>1.3086554986782448</v>
      </c>
      <c r="J120">
        <v>1.3086554986782448E-4</v>
      </c>
      <c r="K120" t="s">
        <v>7</v>
      </c>
      <c r="M120" t="s">
        <v>6</v>
      </c>
      <c r="N120">
        <v>111.43755900003404</v>
      </c>
      <c r="O120">
        <f>DTDRpat_result0__3[[#This Row],[gap of angle (rad)2]]*10000</f>
        <v>1.1424076378858241</v>
      </c>
      <c r="P120">
        <v>1.1424076378858241E-4</v>
      </c>
    </row>
    <row r="121" spans="1:16" x14ac:dyDescent="0.3">
      <c r="A121" t="s">
        <v>6</v>
      </c>
      <c r="B121">
        <v>111.43755900003404</v>
      </c>
      <c r="C121">
        <f>DTDRpat_result0_1[[#This Row],[gap of angle (rad)2]]*10000</f>
        <v>1.3639194511580113</v>
      </c>
      <c r="D121">
        <v>1.3639194511580113E-4</v>
      </c>
      <c r="E121">
        <v>506.07386633820948</v>
      </c>
      <c r="G121" t="s">
        <v>6</v>
      </c>
      <c r="H121">
        <v>111.43755900003404</v>
      </c>
      <c r="I121">
        <f>DTDRpat_result0__2[[#This Row],[gap of angle (rad)2]]*10000</f>
        <v>1.2910549492702996</v>
      </c>
      <c r="J121">
        <v>1.2910549492702996E-4</v>
      </c>
      <c r="K121" t="s">
        <v>8</v>
      </c>
      <c r="M121" t="s">
        <v>6</v>
      </c>
      <c r="N121">
        <v>111.43755900003404</v>
      </c>
      <c r="O121">
        <f>DTDRpat_result0__3[[#This Row],[gap of angle (rad)2]]*10000</f>
        <v>1.1290951736155441</v>
      </c>
      <c r="P121">
        <v>1.1290951736155442E-4</v>
      </c>
    </row>
    <row r="122" spans="1:16" x14ac:dyDescent="0.3">
      <c r="A122" t="s">
        <v>6</v>
      </c>
      <c r="B122">
        <v>113.32898500003604</v>
      </c>
      <c r="C122">
        <f>DTDRpat_result0_1[[#This Row],[gap of angle (rad)2]]*10000</f>
        <v>1.3491327270068565</v>
      </c>
      <c r="D122">
        <v>1.3491327270068564E-4</v>
      </c>
      <c r="E122">
        <v>508.83984535569209</v>
      </c>
      <c r="G122" t="s">
        <v>6</v>
      </c>
      <c r="H122">
        <v>113.32898500003604</v>
      </c>
      <c r="I122">
        <f>DTDRpat_result0__2[[#This Row],[gap of angle (rad)2]]*10000</f>
        <v>1.2903312403203342</v>
      </c>
      <c r="J122">
        <v>1.2903312403203342E-4</v>
      </c>
      <c r="K122" t="s">
        <v>7</v>
      </c>
      <c r="M122" t="s">
        <v>6</v>
      </c>
      <c r="N122">
        <v>113.32898500003604</v>
      </c>
      <c r="O122">
        <f>DTDRpat_result0__3[[#This Row],[gap of angle (rad)2]]*10000</f>
        <v>1.1399264337234272</v>
      </c>
      <c r="P122">
        <v>1.1399264337234272E-4</v>
      </c>
    </row>
    <row r="123" spans="1:16" x14ac:dyDescent="0.3">
      <c r="A123" t="s">
        <v>6</v>
      </c>
      <c r="B123">
        <v>113.32898500003604</v>
      </c>
      <c r="C123">
        <f>DTDRpat_result0_1[[#This Row],[gap of angle (rad)2]]*10000</f>
        <v>1.3352969966172294</v>
      </c>
      <c r="D123">
        <v>1.3352969966172294E-4</v>
      </c>
      <c r="E123">
        <v>511.46941112167775</v>
      </c>
      <c r="G123" t="s">
        <v>6</v>
      </c>
      <c r="H123">
        <v>113.32898500003604</v>
      </c>
      <c r="I123">
        <f>DTDRpat_result0__2[[#This Row],[gap of angle (rad)2]]*10000</f>
        <v>1.2720544774715705</v>
      </c>
      <c r="J123">
        <v>1.2720544774715706E-4</v>
      </c>
      <c r="K123" t="s">
        <v>8</v>
      </c>
      <c r="M123" t="s">
        <v>6</v>
      </c>
      <c r="N123">
        <v>113.32898500003604</v>
      </c>
      <c r="O123">
        <f>DTDRpat_result0__3[[#This Row],[gap of angle (rad)2]]*10000</f>
        <v>1.1257694941928031</v>
      </c>
      <c r="P123">
        <v>1.1257694941928031E-4</v>
      </c>
    </row>
    <row r="124" spans="1:16" x14ac:dyDescent="0.3">
      <c r="A124" t="s">
        <v>6</v>
      </c>
      <c r="B124">
        <v>115.20788500003803</v>
      </c>
      <c r="C124">
        <f>DTDRpat_result0_1[[#This Row],[gap of angle (rad)2]]*10000</f>
        <v>1.3204121749717097</v>
      </c>
      <c r="D124">
        <v>1.3204121749717097E-4</v>
      </c>
      <c r="E124">
        <v>514.34436997566945</v>
      </c>
      <c r="G124" t="s">
        <v>6</v>
      </c>
      <c r="H124">
        <v>115.20788500003803</v>
      </c>
      <c r="I124">
        <f>DTDRpat_result0__2[[#This Row],[gap of angle (rad)2]]*10000</f>
        <v>1.271434696702334</v>
      </c>
      <c r="J124">
        <v>1.271434696702334E-4</v>
      </c>
      <c r="K124" t="s">
        <v>7</v>
      </c>
      <c r="M124" t="s">
        <v>6</v>
      </c>
      <c r="N124">
        <v>115.20788500003803</v>
      </c>
      <c r="O124">
        <f>DTDRpat_result0__3[[#This Row],[gap of angle (rad)2]]*10000</f>
        <v>1.1372551585827013</v>
      </c>
      <c r="P124">
        <v>1.1372551585827014E-4</v>
      </c>
    </row>
    <row r="125" spans="1:16" x14ac:dyDescent="0.3">
      <c r="A125" t="s">
        <v>6</v>
      </c>
      <c r="B125">
        <v>115.20788500003803</v>
      </c>
      <c r="C125">
        <f>DTDRpat_result0_1[[#This Row],[gap of angle (rad)2]]*10000</f>
        <v>1.3063732023741921</v>
      </c>
      <c r="D125">
        <v>1.306373202374192E-4</v>
      </c>
      <c r="E125">
        <v>517.10084022676256</v>
      </c>
      <c r="G125" t="s">
        <v>6</v>
      </c>
      <c r="H125">
        <v>115.20788500003803</v>
      </c>
      <c r="I125">
        <f>DTDRpat_result0__2[[#This Row],[gap of angle (rad)2]]*10000</f>
        <v>1.2526414309982836</v>
      </c>
      <c r="J125">
        <v>1.2526414309982836E-4</v>
      </c>
      <c r="K125" t="s">
        <v>8</v>
      </c>
      <c r="M125" t="s">
        <v>6</v>
      </c>
      <c r="N125">
        <v>115.20788500003803</v>
      </c>
      <c r="O125">
        <f>DTDRpat_result0__3[[#This Row],[gap of angle (rad)2]]*10000</f>
        <v>1.1223336894221487</v>
      </c>
      <c r="P125">
        <v>1.1223336894221487E-4</v>
      </c>
    </row>
    <row r="126" spans="1:16" x14ac:dyDescent="0.3">
      <c r="A126" t="s">
        <v>6</v>
      </c>
      <c r="B126">
        <v>117.08678500003998</v>
      </c>
      <c r="C126">
        <f>DTDRpat_result0_1[[#This Row],[gap of angle (rad)2]]*10000</f>
        <v>1.2913371490167564</v>
      </c>
      <c r="D126">
        <v>1.2913371490167564E-4</v>
      </c>
      <c r="E126">
        <v>520.10277238615731</v>
      </c>
      <c r="G126" t="s">
        <v>6</v>
      </c>
      <c r="H126">
        <v>117.08678500003998</v>
      </c>
      <c r="I126">
        <f>DTDRpat_result0__2[[#This Row],[gap of angle (rad)2]]*10000</f>
        <v>1.2520069148365132</v>
      </c>
      <c r="J126">
        <v>1.2520069148365132E-4</v>
      </c>
      <c r="K126" t="s">
        <v>7</v>
      </c>
      <c r="M126" t="s">
        <v>6</v>
      </c>
      <c r="N126">
        <v>117.08678500003998</v>
      </c>
      <c r="O126">
        <f>DTDRpat_result0__3[[#This Row],[gap of angle (rad)2]]*10000</f>
        <v>1.134392499083948</v>
      </c>
      <c r="P126">
        <v>1.134392499083948E-4</v>
      </c>
    </row>
    <row r="127" spans="1:16" x14ac:dyDescent="0.3">
      <c r="A127" t="s">
        <v>6</v>
      </c>
      <c r="B127">
        <v>117.08678500003998</v>
      </c>
      <c r="C127">
        <f>DTDRpat_result0_1[[#This Row],[gap of angle (rad)2]]*10000</f>
        <v>1.2772150620189824</v>
      </c>
      <c r="D127">
        <v>1.2772150620189823E-4</v>
      </c>
      <c r="E127">
        <v>522.97035685523986</v>
      </c>
      <c r="G127" t="s">
        <v>6</v>
      </c>
      <c r="H127">
        <v>117.08678500003998</v>
      </c>
      <c r="I127">
        <f>DTDRpat_result0__2[[#This Row],[gap of angle (rad)2]]*10000</f>
        <v>1.2328452375132029</v>
      </c>
      <c r="J127">
        <v>1.2328452375132029E-4</v>
      </c>
      <c r="K127" t="s">
        <v>8</v>
      </c>
      <c r="M127" t="s">
        <v>6</v>
      </c>
      <c r="N127">
        <v>117.08678500003998</v>
      </c>
      <c r="O127">
        <f>DTDRpat_result0__3[[#This Row],[gap of angle (rad)2]]*10000</f>
        <v>1.118783400506622</v>
      </c>
      <c r="P127">
        <v>1.1187834005066219E-4</v>
      </c>
    </row>
    <row r="128" spans="1:16" x14ac:dyDescent="0.3">
      <c r="A128" t="s">
        <v>6</v>
      </c>
      <c r="B128">
        <v>118.96568500004193</v>
      </c>
      <c r="C128">
        <f>DTDRpat_result0_1[[#This Row],[gap of angle (rad)2]]*10000</f>
        <v>1.2621496851317111</v>
      </c>
      <c r="D128">
        <v>1.2621496851317112E-4</v>
      </c>
      <c r="E128">
        <v>526.08237284476058</v>
      </c>
      <c r="G128" t="s">
        <v>6</v>
      </c>
      <c r="H128">
        <v>118.96568500004193</v>
      </c>
      <c r="I128">
        <f>DTDRpat_result0__2[[#This Row],[gap of angle (rad)2]]*10000</f>
        <v>1.232200779714502</v>
      </c>
      <c r="J128">
        <v>1.2322007797145021E-4</v>
      </c>
      <c r="K128" t="s">
        <v>7</v>
      </c>
      <c r="M128" t="s">
        <v>6</v>
      </c>
      <c r="N128">
        <v>118.96568500004193</v>
      </c>
      <c r="O128">
        <f>DTDRpat_result0__3[[#This Row],[gap of angle (rad)2]]*10000</f>
        <v>1.131353596719026</v>
      </c>
      <c r="P128">
        <v>1.1313535967190261E-4</v>
      </c>
    </row>
    <row r="129" spans="1:16" x14ac:dyDescent="0.3">
      <c r="A129" t="s">
        <v>6</v>
      </c>
      <c r="B129">
        <v>118.96568500004193</v>
      </c>
      <c r="C129">
        <f>DTDRpat_result0_1[[#This Row],[gap of angle (rad)2]]*10000</f>
        <v>1.2480526610973697</v>
      </c>
      <c r="D129">
        <v>1.2480526610973697E-4</v>
      </c>
      <c r="E129">
        <v>529.04522861635905</v>
      </c>
      <c r="G129" t="s">
        <v>6</v>
      </c>
      <c r="H129">
        <v>118.96568500004193</v>
      </c>
      <c r="I129">
        <f>DTDRpat_result0__2[[#This Row],[gap of angle (rad)2]]*10000</f>
        <v>1.2128106091736568</v>
      </c>
      <c r="J129">
        <v>1.2128106091736568E-4</v>
      </c>
      <c r="K129" t="s">
        <v>8</v>
      </c>
      <c r="M129" t="s">
        <v>6</v>
      </c>
      <c r="N129">
        <v>118.96568500004193</v>
      </c>
      <c r="O129">
        <f>DTDRpat_result0__3[[#This Row],[gap of angle (rad)2]]*10000</f>
        <v>1.1151361119119845</v>
      </c>
      <c r="P129">
        <v>1.1151361119119846E-4</v>
      </c>
    </row>
    <row r="130" spans="1:16" x14ac:dyDescent="0.3">
      <c r="A130" t="s">
        <v>6</v>
      </c>
      <c r="B130">
        <v>120.85084800004387</v>
      </c>
      <c r="C130">
        <f>DTDRpat_result0_1[[#This Row],[gap of angle (rad)2]]*10000</f>
        <v>1.232970126695021</v>
      </c>
      <c r="D130">
        <v>1.2329701266950211E-4</v>
      </c>
      <c r="E130">
        <v>532.27128641234754</v>
      </c>
      <c r="G130" t="s">
        <v>6</v>
      </c>
      <c r="H130">
        <v>120.85084800004387</v>
      </c>
      <c r="I130">
        <f>DTDRpat_result0__2[[#This Row],[gap of angle (rad)2]]*10000</f>
        <v>1.2120937293429166</v>
      </c>
      <c r="J130">
        <v>1.2120937293429167E-4</v>
      </c>
      <c r="K130" t="s">
        <v>7</v>
      </c>
      <c r="M130" t="s">
        <v>6</v>
      </c>
      <c r="N130">
        <v>120.85084800004387</v>
      </c>
      <c r="O130">
        <f>DTDRpat_result0__3[[#This Row],[gap of angle (rad)2]]*10000</f>
        <v>1.1281434830475012</v>
      </c>
      <c r="P130">
        <v>1.1281434830475012E-4</v>
      </c>
    </row>
    <row r="131" spans="1:16" x14ac:dyDescent="0.3">
      <c r="A131" t="s">
        <v>6</v>
      </c>
      <c r="B131">
        <v>120.85084800004387</v>
      </c>
      <c r="C131">
        <f>DTDRpat_result0_1[[#This Row],[gap of angle (rad)2]]*10000</f>
        <v>1.2189944900754224</v>
      </c>
      <c r="D131">
        <v>1.2189944900754224E-4</v>
      </c>
      <c r="E131">
        <v>535.31387400146502</v>
      </c>
      <c r="G131" t="s">
        <v>6</v>
      </c>
      <c r="H131">
        <v>120.85084800004387</v>
      </c>
      <c r="I131">
        <f>DTDRpat_result0__2[[#This Row],[gap of angle (rad)2]]*10000</f>
        <v>1.1926054046164758</v>
      </c>
      <c r="J131">
        <v>1.1926054046164758E-4</v>
      </c>
      <c r="K131" t="s">
        <v>8</v>
      </c>
      <c r="M131" t="s">
        <v>6</v>
      </c>
      <c r="N131">
        <v>120.85084800004387</v>
      </c>
      <c r="O131">
        <f>DTDRpat_result0__3[[#This Row],[gap of angle (rad)2]]*10000</f>
        <v>1.1113969222730826</v>
      </c>
      <c r="P131">
        <v>1.1113969222730825E-4</v>
      </c>
    </row>
    <row r="132" spans="1:16" x14ac:dyDescent="0.3">
      <c r="A132" t="s">
        <v>6</v>
      </c>
      <c r="B132">
        <v>122.74853700004584</v>
      </c>
      <c r="C132">
        <f>DTDRpat_result0_1[[#This Row],[gap of angle (rad)2]]*10000</f>
        <v>1.2038984555364707</v>
      </c>
      <c r="D132">
        <v>1.2038984555364707E-4</v>
      </c>
      <c r="E132">
        <v>538.65968961099031</v>
      </c>
      <c r="G132" t="s">
        <v>6</v>
      </c>
      <c r="H132">
        <v>122.74853700004584</v>
      </c>
      <c r="I132">
        <f>DTDRpat_result0__2[[#This Row],[gap of angle (rad)2]]*10000</f>
        <v>1.1917528963607713</v>
      </c>
      <c r="J132">
        <v>1.1917528963607712E-4</v>
      </c>
      <c r="K132" t="s">
        <v>7</v>
      </c>
      <c r="M132" t="s">
        <v>6</v>
      </c>
      <c r="N132">
        <v>122.74853700004584</v>
      </c>
      <c r="O132">
        <f>DTDRpat_result0__3[[#This Row],[gap of angle (rad)2]]*10000</f>
        <v>1.1247658940104184</v>
      </c>
      <c r="P132">
        <v>1.1247658940104185E-4</v>
      </c>
    </row>
    <row r="133" spans="1:16" x14ac:dyDescent="0.3">
      <c r="A133" t="s">
        <v>6</v>
      </c>
      <c r="B133">
        <v>122.74853700004584</v>
      </c>
      <c r="C133">
        <f>DTDRpat_result0_1[[#This Row],[gap of angle (rad)2]]*10000</f>
        <v>1.190129718778022</v>
      </c>
      <c r="D133">
        <v>1.190129718778022E-4</v>
      </c>
      <c r="E133">
        <v>541.76666731188175</v>
      </c>
      <c r="G133" t="s">
        <v>6</v>
      </c>
      <c r="H133">
        <v>122.74853700004584</v>
      </c>
      <c r="I133">
        <f>DTDRpat_result0__2[[#This Row],[gap of angle (rad)2]]*10000</f>
        <v>1.1722879610732837</v>
      </c>
      <c r="J133">
        <v>1.1722879610732837E-4</v>
      </c>
      <c r="K133" t="s">
        <v>8</v>
      </c>
      <c r="M133" t="s">
        <v>6</v>
      </c>
      <c r="N133">
        <v>122.74853700004584</v>
      </c>
      <c r="O133">
        <f>DTDRpat_result0__3[[#This Row],[gap of angle (rad)2]]*10000</f>
        <v>1.1075703037266316</v>
      </c>
      <c r="P133">
        <v>1.1075703037266316E-4</v>
      </c>
    </row>
    <row r="134" spans="1:16" x14ac:dyDescent="0.3">
      <c r="A134" t="s">
        <v>6</v>
      </c>
      <c r="B134">
        <v>124.6399630000478</v>
      </c>
      <c r="C134">
        <f>DTDRpat_result0_1[[#This Row],[gap of angle (rad)2]]*10000</f>
        <v>1.1753933661672187</v>
      </c>
      <c r="D134">
        <v>1.1753933661672187E-4</v>
      </c>
      <c r="E134">
        <v>545.15227742600621</v>
      </c>
      <c r="G134" t="s">
        <v>6</v>
      </c>
      <c r="H134">
        <v>124.6399630000478</v>
      </c>
      <c r="I134">
        <f>DTDRpat_result0__2[[#This Row],[gap of angle (rad)2]]*10000</f>
        <v>1.1715058291890061</v>
      </c>
      <c r="J134">
        <v>1.1715058291890061E-4</v>
      </c>
      <c r="K134" t="s">
        <v>7</v>
      </c>
      <c r="M134" t="s">
        <v>6</v>
      </c>
      <c r="N134">
        <v>124.6399630000478</v>
      </c>
      <c r="O134">
        <f>DTDRpat_result0__3[[#This Row],[gap of angle (rad)2]]*10000</f>
        <v>1.1212708742291673</v>
      </c>
      <c r="P134">
        <v>1.1212708742291672E-4</v>
      </c>
    </row>
    <row r="135" spans="1:16" x14ac:dyDescent="0.3">
      <c r="A135" t="s">
        <v>6</v>
      </c>
      <c r="B135">
        <v>124.6399630000478</v>
      </c>
      <c r="C135">
        <f>DTDRpat_result0_1[[#This Row],[gap of angle (rad)2]]*10000</f>
        <v>1.1619032987592812</v>
      </c>
      <c r="D135">
        <v>1.1619032987592811E-4</v>
      </c>
      <c r="E135">
        <v>548.30784756334367</v>
      </c>
      <c r="G135" t="s">
        <v>6</v>
      </c>
      <c r="H135">
        <v>124.6399630000478</v>
      </c>
      <c r="I135">
        <f>DTDRpat_result0__2[[#This Row],[gap of angle (rad)2]]*10000</f>
        <v>1.1521751770536082</v>
      </c>
      <c r="J135">
        <v>1.1521751770536082E-4</v>
      </c>
      <c r="K135" t="s">
        <v>8</v>
      </c>
      <c r="M135" t="s">
        <v>6</v>
      </c>
      <c r="N135">
        <v>124.6399630000478</v>
      </c>
      <c r="O135">
        <f>DTDRpat_result0__3[[#This Row],[gap of angle (rad)2]]*10000</f>
        <v>1.1037118195021345</v>
      </c>
      <c r="P135">
        <v>1.1037118195021345E-4</v>
      </c>
    </row>
    <row r="136" spans="1:16" x14ac:dyDescent="0.3">
      <c r="A136" t="s">
        <v>6</v>
      </c>
      <c r="B136">
        <v>126.53138900004976</v>
      </c>
      <c r="C136">
        <f>DTDRpat_result0_1[[#This Row],[gap of angle (rad)2]]*10000</f>
        <v>1.1475023848890711</v>
      </c>
      <c r="D136">
        <v>1.147502384889071E-4</v>
      </c>
      <c r="E136">
        <v>551.73769061123153</v>
      </c>
      <c r="G136" t="s">
        <v>6</v>
      </c>
      <c r="H136">
        <v>126.53138900004976</v>
      </c>
      <c r="I136">
        <f>DTDRpat_result0__2[[#This Row],[gap of angle (rad)2]]*10000</f>
        <v>1.1514005478355518</v>
      </c>
      <c r="J136">
        <v>1.1514005478355519E-4</v>
      </c>
      <c r="K136" t="s">
        <v>7</v>
      </c>
      <c r="M136" t="s">
        <v>6</v>
      </c>
      <c r="N136">
        <v>126.53138900004976</v>
      </c>
      <c r="O136">
        <f>DTDRpat_result0__3[[#This Row],[gap of angle (rad)2]]*10000</f>
        <v>1.1176651496106593</v>
      </c>
      <c r="P136">
        <v>1.1176651496106592E-4</v>
      </c>
    </row>
    <row r="137" spans="1:16" x14ac:dyDescent="0.3">
      <c r="A137" t="s">
        <v>6</v>
      </c>
      <c r="B137">
        <v>126.53138900004976</v>
      </c>
      <c r="C137">
        <f>DTDRpat_result0_1[[#This Row],[gap of angle (rad)2]]*10000</f>
        <v>1.1343517063884523</v>
      </c>
      <c r="D137">
        <v>1.1343517063884523E-4</v>
      </c>
      <c r="E137">
        <v>554.92662886658263</v>
      </c>
      <c r="G137" t="s">
        <v>6</v>
      </c>
      <c r="H137">
        <v>126.53138900004976</v>
      </c>
      <c r="I137">
        <f>DTDRpat_result0__2[[#This Row],[gap of angle (rad)2]]*10000</f>
        <v>1.1323038442571056</v>
      </c>
      <c r="J137">
        <v>1.1323038442571057E-4</v>
      </c>
      <c r="K137" t="s">
        <v>8</v>
      </c>
      <c r="M137" t="s">
        <v>6</v>
      </c>
      <c r="N137">
        <v>126.53138900004976</v>
      </c>
      <c r="O137">
        <f>DTDRpat_result0__3[[#This Row],[gap of angle (rad)2]]*10000</f>
        <v>1.0998267669782769</v>
      </c>
      <c r="P137">
        <v>1.0998267669782769E-4</v>
      </c>
    </row>
    <row r="138" spans="1:16" x14ac:dyDescent="0.3">
      <c r="A138" t="s">
        <v>6</v>
      </c>
      <c r="B138">
        <v>128.42281500005069</v>
      </c>
      <c r="C138">
        <f>DTDRpat_result0_1[[#This Row],[gap of angle (rad)2]]*10000</f>
        <v>1.1203459825918307</v>
      </c>
      <c r="D138">
        <v>1.1203459825918307E-4</v>
      </c>
      <c r="E138">
        <v>558.38446076610217</v>
      </c>
      <c r="G138" t="s">
        <v>6</v>
      </c>
      <c r="H138">
        <v>128.42281500005069</v>
      </c>
      <c r="I138">
        <f>DTDRpat_result0__2[[#This Row],[gap of angle (rad)2]]*10000</f>
        <v>1.1315405036380448</v>
      </c>
      <c r="J138">
        <v>1.1315405036380448E-4</v>
      </c>
      <c r="K138" t="s">
        <v>7</v>
      </c>
      <c r="M138" t="s">
        <v>6</v>
      </c>
      <c r="N138">
        <v>128.42281500005069</v>
      </c>
      <c r="O138">
        <f>DTDRpat_result0__3[[#This Row],[gap of angle (rad)2]]*10000</f>
        <v>1.113966701044669</v>
      </c>
      <c r="P138">
        <v>1.113966701044669E-4</v>
      </c>
    </row>
    <row r="139" spans="1:16" x14ac:dyDescent="0.3">
      <c r="A139" t="s">
        <v>6</v>
      </c>
      <c r="B139">
        <v>128.42281500005069</v>
      </c>
      <c r="C139">
        <f>DTDRpat_result0_1[[#This Row],[gap of angle (rad)2]]*10000</f>
        <v>1.1075848383599709</v>
      </c>
      <c r="D139">
        <v>1.1075848383599709E-4</v>
      </c>
      <c r="E139">
        <v>561.59193935928852</v>
      </c>
      <c r="G139" t="s">
        <v>6</v>
      </c>
      <c r="H139">
        <v>128.42281500005069</v>
      </c>
      <c r="I139">
        <f>DTDRpat_result0__2[[#This Row],[gap of angle (rad)2]]*10000</f>
        <v>1.1127665193448555</v>
      </c>
      <c r="J139">
        <v>1.1127665193448556E-4</v>
      </c>
      <c r="K139" t="s">
        <v>8</v>
      </c>
      <c r="M139" t="s">
        <v>6</v>
      </c>
      <c r="N139">
        <v>128.42281500005069</v>
      </c>
      <c r="O139">
        <f>DTDRpat_result0__3[[#This Row],[gap of angle (rad)2]]*10000</f>
        <v>1.0959327844112179</v>
      </c>
      <c r="P139">
        <v>1.0959327844112178E-4</v>
      </c>
    </row>
    <row r="140" spans="1:16" x14ac:dyDescent="0.3">
      <c r="A140" t="s">
        <v>6</v>
      </c>
      <c r="B140">
        <v>130.31424100004827</v>
      </c>
      <c r="C140">
        <f>DTDRpat_result0_1[[#This Row],[gap of angle (rad)2]]*10000</f>
        <v>1.0940230609110597</v>
      </c>
      <c r="D140">
        <v>1.0940230609110597E-4</v>
      </c>
      <c r="E140">
        <v>565.0619729381466</v>
      </c>
      <c r="G140" t="s">
        <v>6</v>
      </c>
      <c r="H140">
        <v>130.31424100004827</v>
      </c>
      <c r="I140">
        <f>DTDRpat_result0__2[[#This Row],[gap of angle (rad)2]]*10000</f>
        <v>1.1120178021750384</v>
      </c>
      <c r="J140">
        <v>1.1120178021750385E-4</v>
      </c>
      <c r="K140" t="s">
        <v>7</v>
      </c>
      <c r="M140" t="s">
        <v>6</v>
      </c>
      <c r="N140">
        <v>130.31424100004827</v>
      </c>
      <c r="O140">
        <f>DTDRpat_result0__3[[#This Row],[gap of angle (rad)2]]*10000</f>
        <v>1.1101934524888624</v>
      </c>
      <c r="P140">
        <v>1.1101934524888624E-4</v>
      </c>
    </row>
    <row r="141" spans="1:16" x14ac:dyDescent="0.3">
      <c r="A141" t="s">
        <v>6</v>
      </c>
      <c r="B141">
        <v>130.31424100004827</v>
      </c>
      <c r="C141">
        <f>DTDRpat_result0_1[[#This Row],[gap of angle (rad)2]]*10000</f>
        <v>1.081691836903627</v>
      </c>
      <c r="D141">
        <v>1.081691836903627E-4</v>
      </c>
      <c r="E141">
        <v>568.27361046141812</v>
      </c>
      <c r="G141" t="s">
        <v>6</v>
      </c>
      <c r="H141">
        <v>130.31424100004827</v>
      </c>
      <c r="I141">
        <f>DTDRpat_result0__2[[#This Row],[gap of angle (rad)2]]*10000</f>
        <v>1.0936445431941799</v>
      </c>
      <c r="J141">
        <v>1.0936445431941799E-4</v>
      </c>
      <c r="K141" t="s">
        <v>8</v>
      </c>
      <c r="M141" t="s">
        <v>6</v>
      </c>
      <c r="N141">
        <v>130.31424100004827</v>
      </c>
      <c r="O141">
        <f>DTDRpat_result0__3[[#This Row],[gap of angle (rad)2]]*10000</f>
        <v>1.0920471101881246</v>
      </c>
      <c r="P141">
        <v>1.0920471101881245E-4</v>
      </c>
    </row>
    <row r="142" spans="1:16" x14ac:dyDescent="0.3">
      <c r="A142" t="s">
        <v>6</v>
      </c>
      <c r="B142">
        <v>132.20566700004582</v>
      </c>
      <c r="C142">
        <f>DTDRpat_result0_1[[#This Row],[gap of angle (rad)2]]*10000</f>
        <v>1.0686128672209794</v>
      </c>
      <c r="D142">
        <v>1.0686128672209793E-4</v>
      </c>
      <c r="E142">
        <v>571.74056342536392</v>
      </c>
      <c r="G142" t="s">
        <v>6</v>
      </c>
      <c r="H142">
        <v>132.20566700004582</v>
      </c>
      <c r="I142">
        <f>DTDRpat_result0__2[[#This Row],[gap of angle (rad)2]]*10000</f>
        <v>1.092913435145741</v>
      </c>
      <c r="J142">
        <v>1.0929134351457411E-4</v>
      </c>
      <c r="K142" t="s">
        <v>7</v>
      </c>
      <c r="M142" t="s">
        <v>6</v>
      </c>
      <c r="N142">
        <v>132.20566700004582</v>
      </c>
      <c r="O142">
        <f>DTDRpat_result0__3[[#This Row],[gap of angle (rad)2]]*10000</f>
        <v>1.1063635143942907</v>
      </c>
      <c r="P142">
        <v>1.1063635143942907E-4</v>
      </c>
    </row>
    <row r="143" spans="1:16" x14ac:dyDescent="0.3">
      <c r="A143" t="s">
        <v>6</v>
      </c>
      <c r="B143">
        <v>132.20566700004582</v>
      </c>
      <c r="C143">
        <f>DTDRpat_result0_1[[#This Row],[gap of angle (rad)2]]*10000</f>
        <v>1.0567433071781032</v>
      </c>
      <c r="D143">
        <v>1.0567433071781032E-4</v>
      </c>
      <c r="E143">
        <v>574.9424641382783</v>
      </c>
      <c r="G143" t="s">
        <v>6</v>
      </c>
      <c r="H143">
        <v>132.20566700004582</v>
      </c>
      <c r="I143">
        <f>DTDRpat_result0__2[[#This Row],[gap of angle (rad)2]]*10000</f>
        <v>1.0750087976430873</v>
      </c>
      <c r="J143">
        <v>1.0750087976430872E-4</v>
      </c>
      <c r="K143" t="s">
        <v>8</v>
      </c>
      <c r="M143" t="s">
        <v>6</v>
      </c>
      <c r="N143">
        <v>132.20566700004582</v>
      </c>
      <c r="O143">
        <f>DTDRpat_result0__3[[#This Row],[gap of angle (rad)2]]*10000</f>
        <v>1.088186616563628</v>
      </c>
      <c r="P143">
        <v>1.088186616563628E-4</v>
      </c>
    </row>
    <row r="144" spans="1:16" x14ac:dyDescent="0.3">
      <c r="A144" t="s">
        <v>6</v>
      </c>
      <c r="B144">
        <v>134.09083000004341</v>
      </c>
      <c r="C144">
        <f>DTDRpat_result0_1[[#This Row],[gap of angle (rad)2]]*10000</f>
        <v>1.0442563663427851</v>
      </c>
      <c r="D144">
        <v>1.0442563663427852E-4</v>
      </c>
      <c r="E144">
        <v>578.36964915539681</v>
      </c>
      <c r="G144" t="s">
        <v>6</v>
      </c>
      <c r="H144">
        <v>134.09083000004341</v>
      </c>
      <c r="I144">
        <f>DTDRpat_result0__2[[#This Row],[gap of angle (rad)2]]*10000</f>
        <v>1.0743585423154161</v>
      </c>
      <c r="J144">
        <v>1.074358542315416E-4</v>
      </c>
      <c r="K144" t="s">
        <v>7</v>
      </c>
      <c r="M144" t="s">
        <v>6</v>
      </c>
      <c r="N144">
        <v>134.09083000004341</v>
      </c>
      <c r="O144">
        <f>DTDRpat_result0__3[[#This Row],[gap of angle (rad)2]]*10000</f>
        <v>1.1025076543170567</v>
      </c>
      <c r="P144">
        <v>1.1025076543170567E-4</v>
      </c>
    </row>
    <row r="145" spans="1:16" x14ac:dyDescent="0.3">
      <c r="A145" t="s">
        <v>6</v>
      </c>
      <c r="B145">
        <v>134.09083000004341</v>
      </c>
      <c r="C145">
        <f>DTDRpat_result0_1[[#This Row],[gap of angle (rad)2]]*10000</f>
        <v>1.0328708579969692</v>
      </c>
      <c r="D145">
        <v>1.0328708579969691E-4</v>
      </c>
      <c r="E145">
        <v>581.54853116489994</v>
      </c>
      <c r="G145" t="s">
        <v>6</v>
      </c>
      <c r="H145">
        <v>134.09083000004341</v>
      </c>
      <c r="I145">
        <f>DTDRpat_result0__2[[#This Row],[gap of angle (rad)2]]*10000</f>
        <v>1.0569790793473335</v>
      </c>
      <c r="J145">
        <v>1.0569790793473334E-4</v>
      </c>
      <c r="K145" t="s">
        <v>8</v>
      </c>
      <c r="M145" t="s">
        <v>6</v>
      </c>
      <c r="N145">
        <v>134.09083000004341</v>
      </c>
      <c r="O145">
        <f>DTDRpat_result0__3[[#This Row],[gap of angle (rad)2]]*10000</f>
        <v>1.0843802503896729</v>
      </c>
      <c r="P145">
        <v>1.084380250389673E-4</v>
      </c>
    </row>
    <row r="146" spans="1:16" x14ac:dyDescent="0.3">
      <c r="A146" t="s">
        <v>6</v>
      </c>
      <c r="B146">
        <v>135.96973000004098</v>
      </c>
      <c r="C146">
        <f>DTDRpat_result0_1[[#This Row],[gap of angle (rad)2]]*10000</f>
        <v>1.0209896159282073</v>
      </c>
      <c r="D146">
        <v>1.0209896159282073E-4</v>
      </c>
      <c r="E146">
        <v>584.92235792936913</v>
      </c>
      <c r="G146" t="s">
        <v>6</v>
      </c>
      <c r="H146">
        <v>135.96973000004098</v>
      </c>
      <c r="I146">
        <f>DTDRpat_result0__2[[#This Row],[gap of angle (rad)2]]*10000</f>
        <v>1.0564079839347864</v>
      </c>
      <c r="J146">
        <v>1.0564079839347863E-4</v>
      </c>
      <c r="K146" t="s">
        <v>7</v>
      </c>
      <c r="M146" t="s">
        <v>6</v>
      </c>
      <c r="N146">
        <v>135.96973000004098</v>
      </c>
      <c r="O146">
        <f>DTDRpat_result0__3[[#This Row],[gap of angle (rad)2]]*10000</f>
        <v>1.0986437487624021</v>
      </c>
      <c r="P146">
        <v>1.098643748762402E-4</v>
      </c>
    </row>
    <row r="147" spans="1:16" x14ac:dyDescent="0.3">
      <c r="A147" t="s">
        <v>6</v>
      </c>
      <c r="B147">
        <v>135.96973000004098</v>
      </c>
      <c r="C147">
        <f>DTDRpat_result0_1[[#This Row],[gap of angle (rad)2]]*10000</f>
        <v>1.0101038196464127</v>
      </c>
      <c r="D147">
        <v>1.0101038196464128E-4</v>
      </c>
      <c r="E147">
        <v>588.065601909978</v>
      </c>
      <c r="G147" t="s">
        <v>6</v>
      </c>
      <c r="H147">
        <v>135.96973000004098</v>
      </c>
      <c r="I147">
        <f>DTDRpat_result0__2[[#This Row],[gap of angle (rad)2]]*10000</f>
        <v>1.0396008887049415</v>
      </c>
      <c r="J147">
        <v>1.0396008887049415E-4</v>
      </c>
      <c r="K147" t="s">
        <v>8</v>
      </c>
      <c r="M147" t="s">
        <v>6</v>
      </c>
      <c r="N147">
        <v>135.96973000004098</v>
      </c>
      <c r="O147">
        <f>DTDRpat_result0__3[[#This Row],[gap of angle (rad)2]]*10000</f>
        <v>1.0806432443393765</v>
      </c>
      <c r="P147">
        <v>1.0806432443393766E-4</v>
      </c>
    </row>
    <row r="148" spans="1:16" x14ac:dyDescent="0.3">
      <c r="A148" t="s">
        <v>6</v>
      </c>
      <c r="B148">
        <v>137.86115600003856</v>
      </c>
      <c r="C148">
        <f>DTDRpat_result0_1[[#This Row],[gap of angle (rad)2]]*10000</f>
        <v>0.9986179471023533</v>
      </c>
      <c r="D148">
        <v>9.9861794710235334E-5</v>
      </c>
      <c r="E148">
        <v>591.4376919491425</v>
      </c>
      <c r="G148" t="s">
        <v>6</v>
      </c>
      <c r="H148">
        <v>137.86115600003856</v>
      </c>
      <c r="I148">
        <f>DTDRpat_result0__2[[#This Row],[gap of angle (rad)2]]*10000</f>
        <v>1.0389360272826931</v>
      </c>
      <c r="J148">
        <v>1.038936027282693E-4</v>
      </c>
      <c r="K148" t="s">
        <v>7</v>
      </c>
      <c r="M148" t="s">
        <v>6</v>
      </c>
      <c r="N148">
        <v>137.86115600003856</v>
      </c>
      <c r="O148">
        <f>DTDRpat_result0__3[[#This Row],[gap of angle (rad)2]]*10000</f>
        <v>1.094750497077968</v>
      </c>
      <c r="P148">
        <v>1.094750497077968E-4</v>
      </c>
    </row>
    <row r="149" spans="1:16" x14ac:dyDescent="0.3">
      <c r="A149" t="s">
        <v>6</v>
      </c>
      <c r="B149">
        <v>137.86115600003856</v>
      </c>
      <c r="C149">
        <f>DTDRpat_result0_1[[#This Row],[gap of angle (rad)2]]*10000</f>
        <v>0.98824698801104505</v>
      </c>
      <c r="D149">
        <v>9.8824698801104507E-5</v>
      </c>
      <c r="E149">
        <v>594.53280873441599</v>
      </c>
      <c r="G149" t="s">
        <v>6</v>
      </c>
      <c r="H149">
        <v>137.86115600003856</v>
      </c>
      <c r="I149">
        <f>DTDRpat_result0__2[[#This Row],[gap of angle (rad)2]]*10000</f>
        <v>1.0227465262425777</v>
      </c>
      <c r="J149">
        <v>1.0227465262425777E-4</v>
      </c>
      <c r="K149" t="s">
        <v>8</v>
      </c>
      <c r="M149" t="s">
        <v>6</v>
      </c>
      <c r="N149">
        <v>137.86115600003856</v>
      </c>
      <c r="O149">
        <f>DTDRpat_result0__3[[#This Row],[gap of angle (rad)2]]*10000</f>
        <v>1.0769537647513137</v>
      </c>
      <c r="P149">
        <v>1.0769537647513137E-4</v>
      </c>
    </row>
    <row r="150" spans="1:16" x14ac:dyDescent="0.3">
      <c r="A150" t="s">
        <v>6</v>
      </c>
      <c r="B150">
        <v>139.75258200003611</v>
      </c>
      <c r="C150">
        <f>DTDRpat_result0_1[[#This Row],[gap of angle (rad)2]]*10000</f>
        <v>0.97732170202158231</v>
      </c>
      <c r="D150">
        <v>9.7732170202158227E-5</v>
      </c>
      <c r="E150">
        <v>597.84648109896534</v>
      </c>
      <c r="G150" t="s">
        <v>6</v>
      </c>
      <c r="H150">
        <v>139.75258200003611</v>
      </c>
      <c r="I150">
        <f>DTDRpat_result0__2[[#This Row],[gap of angle (rad)2]]*10000</f>
        <v>1.0221072743845376</v>
      </c>
      <c r="J150">
        <v>1.0221072743845377E-4</v>
      </c>
      <c r="K150" t="s">
        <v>7</v>
      </c>
      <c r="M150" t="s">
        <v>6</v>
      </c>
      <c r="N150">
        <v>139.75258200003611</v>
      </c>
      <c r="O150">
        <f>DTDRpat_result0__3[[#This Row],[gap of angle (rad)2]]*10000</f>
        <v>1.0908706871996035</v>
      </c>
      <c r="P150">
        <v>1.0908706871996034E-4</v>
      </c>
    </row>
    <row r="151" spans="1:16" x14ac:dyDescent="0.3">
      <c r="A151" t="s">
        <v>6</v>
      </c>
      <c r="B151">
        <v>139.75258200003611</v>
      </c>
      <c r="C151">
        <f>DTDRpat_result0_1[[#This Row],[gap of angle (rad)2]]*10000</f>
        <v>0.96747255381774011</v>
      </c>
      <c r="D151">
        <v>9.674725538177401E-5</v>
      </c>
      <c r="E151">
        <v>600.88174122590851</v>
      </c>
      <c r="G151" t="s">
        <v>6</v>
      </c>
      <c r="H151">
        <v>139.75258200003611</v>
      </c>
      <c r="I151">
        <f>DTDRpat_result0__2[[#This Row],[gap of angle (rad)2]]*10000</f>
        <v>1.0065696117467924</v>
      </c>
      <c r="J151">
        <v>1.0065696117467923E-4</v>
      </c>
      <c r="K151" t="s">
        <v>8</v>
      </c>
      <c r="M151" t="s">
        <v>6</v>
      </c>
      <c r="N151">
        <v>139.75258200003611</v>
      </c>
      <c r="O151">
        <f>DTDRpat_result0__3[[#This Row],[gap of angle (rad)2]]*10000</f>
        <v>1.0733515974776491</v>
      </c>
      <c r="P151">
        <v>1.0733515974776492E-4</v>
      </c>
    </row>
    <row r="152" spans="1:16" x14ac:dyDescent="0.3">
      <c r="A152" t="s">
        <v>6</v>
      </c>
      <c r="B152">
        <v>141.64400800003369</v>
      </c>
      <c r="C152">
        <f>DTDRpat_result0_1[[#This Row],[gap of angle (rad)2]]*10000</f>
        <v>0.95711323001992288</v>
      </c>
      <c r="D152">
        <v>9.5711323001992292E-5</v>
      </c>
      <c r="E152">
        <v>604.12462881875695</v>
      </c>
      <c r="G152" t="s">
        <v>6</v>
      </c>
      <c r="H152">
        <v>141.64400800003369</v>
      </c>
      <c r="I152">
        <f>DTDRpat_result0__2[[#This Row],[gap of angle (rad)2]]*10000</f>
        <v>1.0059572070947707</v>
      </c>
      <c r="J152">
        <v>1.0059572070947706E-4</v>
      </c>
      <c r="K152" t="s">
        <v>7</v>
      </c>
      <c r="M152" t="s">
        <v>6</v>
      </c>
      <c r="N152">
        <v>141.64400800003369</v>
      </c>
      <c r="O152">
        <f>DTDRpat_result0__3[[#This Row],[gap of angle (rad)2]]*10000</f>
        <v>1.0870211111022665</v>
      </c>
      <c r="P152">
        <v>1.0870211111022665E-4</v>
      </c>
    </row>
    <row r="153" spans="1:16" x14ac:dyDescent="0.3">
      <c r="A153" t="s">
        <v>6</v>
      </c>
      <c r="B153">
        <v>141.64400800003369</v>
      </c>
      <c r="C153">
        <f>DTDRpat_result0_1[[#This Row],[gap of angle (rad)2]]*10000</f>
        <v>0.94778887056928796</v>
      </c>
      <c r="D153">
        <v>9.4778887056928799E-5</v>
      </c>
      <c r="E153">
        <v>607.08887273851633</v>
      </c>
      <c r="G153" t="s">
        <v>6</v>
      </c>
      <c r="H153">
        <v>141.64400800003369</v>
      </c>
      <c r="I153">
        <f>DTDRpat_result0__2[[#This Row],[gap of angle (rad)2]]*10000</f>
        <v>0.99109910602881368</v>
      </c>
      <c r="J153">
        <v>9.9109910602881364E-5</v>
      </c>
      <c r="K153" t="s">
        <v>8</v>
      </c>
      <c r="M153" t="s">
        <v>6</v>
      </c>
      <c r="N153">
        <v>141.64400800003369</v>
      </c>
      <c r="O153">
        <f>DTDRpat_result0__3[[#This Row],[gap of angle (rad)2]]*10000</f>
        <v>1.0698507622891813</v>
      </c>
      <c r="P153">
        <v>1.0698507622891812E-4</v>
      </c>
    </row>
    <row r="154" spans="1:16" x14ac:dyDescent="0.3">
      <c r="A154" t="s">
        <v>6</v>
      </c>
      <c r="B154">
        <v>143.52917100003125</v>
      </c>
      <c r="C154">
        <f>DTDRpat_result0_1[[#This Row],[gap of angle (rad)2]]*10000</f>
        <v>0.93805838459426361</v>
      </c>
      <c r="D154">
        <v>9.380583845942636E-5</v>
      </c>
      <c r="E154">
        <v>610.22922339466606</v>
      </c>
      <c r="G154" t="s">
        <v>6</v>
      </c>
      <c r="H154">
        <v>143.52917100003125</v>
      </c>
      <c r="I154">
        <f>DTDRpat_result0__2[[#This Row],[gap of angle (rad)2]]*10000</f>
        <v>0.99056448378987483</v>
      </c>
      <c r="J154">
        <v>9.9056448378987484E-5</v>
      </c>
      <c r="K154" t="s">
        <v>7</v>
      </c>
      <c r="M154" t="s">
        <v>6</v>
      </c>
      <c r="N154">
        <v>143.52917100003125</v>
      </c>
      <c r="O154">
        <f>DTDRpat_result0__3[[#This Row],[gap of angle (rad)2]]*10000</f>
        <v>1.0832304714951899</v>
      </c>
      <c r="P154">
        <v>1.0832304714951899E-4</v>
      </c>
    </row>
    <row r="155" spans="1:16" x14ac:dyDescent="0.3">
      <c r="A155" t="s">
        <v>6</v>
      </c>
      <c r="B155">
        <v>143.52917100003125</v>
      </c>
      <c r="C155">
        <f>DTDRpat_result0_1[[#This Row],[gap of angle (rad)2]]*10000</f>
        <v>0.9292568307636162</v>
      </c>
      <c r="D155">
        <v>9.2925683076361623E-5</v>
      </c>
      <c r="E155">
        <v>613.11215082029253</v>
      </c>
      <c r="G155" t="s">
        <v>6</v>
      </c>
      <c r="H155">
        <v>143.52917100003125</v>
      </c>
      <c r="I155">
        <f>DTDRpat_result0__2[[#This Row],[gap of angle (rad)2]]*10000</f>
        <v>0.9764055662908091</v>
      </c>
      <c r="J155">
        <v>9.7640556629080915E-5</v>
      </c>
      <c r="K155" t="s">
        <v>8</v>
      </c>
      <c r="M155" t="s">
        <v>6</v>
      </c>
      <c r="N155">
        <v>143.52917100003125</v>
      </c>
      <c r="O155">
        <f>DTDRpat_result0__3[[#This Row],[gap of angle (rad)2]]*10000</f>
        <v>1.0664756803307727</v>
      </c>
      <c r="P155">
        <v>1.0664756803307726E-4</v>
      </c>
    </row>
    <row r="156" spans="1:16" x14ac:dyDescent="0.3">
      <c r="A156" t="s">
        <v>6</v>
      </c>
      <c r="B156">
        <v>145.42059700002883</v>
      </c>
      <c r="C156">
        <f>DTDRpat_result0_1[[#This Row],[gap of angle (rad)2]]*10000</f>
        <v>0.9200285127502823</v>
      </c>
      <c r="D156">
        <v>9.2002851275028229E-5</v>
      </c>
      <c r="E156">
        <v>616.17916626395413</v>
      </c>
      <c r="G156" t="s">
        <v>6</v>
      </c>
      <c r="H156">
        <v>145.42059700002883</v>
      </c>
      <c r="I156">
        <f>DTDRpat_result0__2[[#This Row],[gap of angle (rad)2]]*10000</f>
        <v>0.97584956055263761</v>
      </c>
      <c r="J156">
        <v>9.7584956055263758E-5</v>
      </c>
      <c r="K156" t="s">
        <v>7</v>
      </c>
      <c r="M156" t="s">
        <v>6</v>
      </c>
      <c r="N156">
        <v>145.42059700002883</v>
      </c>
      <c r="O156">
        <f>DTDRpat_result0__3[[#This Row],[gap of angle (rad)2]]*10000</f>
        <v>1.0794893205611253</v>
      </c>
      <c r="P156">
        <v>1.0794893205611252E-4</v>
      </c>
    </row>
    <row r="157" spans="1:16" x14ac:dyDescent="0.3">
      <c r="A157" t="s">
        <v>6</v>
      </c>
      <c r="B157">
        <v>145.42059700002883</v>
      </c>
      <c r="C157">
        <f>DTDRpat_result0_1[[#This Row],[gap of angle (rad)2]]*10000</f>
        <v>0.91174858676516846</v>
      </c>
      <c r="D157">
        <v>9.1174858676516845E-5</v>
      </c>
      <c r="E157">
        <v>618.97050672927696</v>
      </c>
      <c r="G157" t="s">
        <v>6</v>
      </c>
      <c r="H157">
        <v>145.42059700002883</v>
      </c>
      <c r="I157">
        <f>DTDRpat_result0__2[[#This Row],[gap of angle (rad)2]]*10000</f>
        <v>0.96240910863292028</v>
      </c>
      <c r="J157">
        <v>9.6240910863292032E-5</v>
      </c>
      <c r="K157" t="s">
        <v>8</v>
      </c>
      <c r="M157" t="s">
        <v>6</v>
      </c>
      <c r="N157">
        <v>145.42059700002883</v>
      </c>
      <c r="O157">
        <f>DTDRpat_result0__3[[#This Row],[gap of angle (rad)2]]*10000</f>
        <v>1.0632164805806816</v>
      </c>
      <c r="P157">
        <v>1.0632164805806816E-4</v>
      </c>
    </row>
    <row r="158" spans="1:16" x14ac:dyDescent="0.3">
      <c r="A158" t="s">
        <v>6</v>
      </c>
      <c r="B158">
        <v>147.30576000002642</v>
      </c>
      <c r="C158">
        <f>DTDRpat_result0_1[[#This Row],[gap of angle (rad)2]]*10000</f>
        <v>0.90313590098223151</v>
      </c>
      <c r="D158">
        <v>9.0313590098223148E-5</v>
      </c>
      <c r="E158">
        <v>621.91466659371702</v>
      </c>
      <c r="G158" t="s">
        <v>6</v>
      </c>
      <c r="H158">
        <v>147.30576000002642</v>
      </c>
      <c r="I158">
        <f>DTDRpat_result0__2[[#This Row],[gap of angle (rad)2]]*10000</f>
        <v>0.96192733069563963</v>
      </c>
      <c r="J158">
        <v>9.6192733069563958E-5</v>
      </c>
      <c r="K158" t="s">
        <v>7</v>
      </c>
      <c r="M158" t="s">
        <v>6</v>
      </c>
      <c r="N158">
        <v>147.30576000002642</v>
      </c>
      <c r="O158">
        <f>DTDRpat_result0__3[[#This Row],[gap of angle (rad)2]]*10000</f>
        <v>1.0758373589014927</v>
      </c>
      <c r="P158">
        <v>1.0758373589014926E-4</v>
      </c>
    </row>
    <row r="159" spans="1:16" x14ac:dyDescent="0.3">
      <c r="A159" t="s">
        <v>6</v>
      </c>
      <c r="B159">
        <v>147.30576000002642</v>
      </c>
      <c r="C159">
        <f>DTDRpat_result0_1[[#This Row],[gap of angle (rad)2]]*10000</f>
        <v>0.89537102424629089</v>
      </c>
      <c r="D159">
        <v>8.9537102424629088E-5</v>
      </c>
      <c r="E159">
        <v>624.60532115876606</v>
      </c>
      <c r="G159" t="s">
        <v>6</v>
      </c>
      <c r="H159">
        <v>147.30576000002642</v>
      </c>
      <c r="I159">
        <f>DTDRpat_result0__2[[#This Row],[gap of angle (rad)2]]*10000</f>
        <v>0.94921552433666667</v>
      </c>
      <c r="J159">
        <v>9.4921552433666664E-5</v>
      </c>
      <c r="K159" t="s">
        <v>8</v>
      </c>
      <c r="M159" t="s">
        <v>6</v>
      </c>
      <c r="N159">
        <v>147.30576000002642</v>
      </c>
      <c r="O159">
        <f>DTDRpat_result0__3[[#This Row],[gap of angle (rad)2]]*10000</f>
        <v>1.0601066978953335</v>
      </c>
      <c r="P159">
        <v>1.0601066978953335E-4</v>
      </c>
    </row>
    <row r="160" spans="1:16" x14ac:dyDescent="0.3">
      <c r="A160" t="s">
        <v>6</v>
      </c>
      <c r="B160">
        <v>149.184660000024</v>
      </c>
      <c r="C160">
        <f>DTDRpat_result0_1[[#This Row],[gap of angle (rad)2]]*10000</f>
        <v>0.88735890706319354</v>
      </c>
      <c r="D160">
        <v>8.8735890706319353E-5</v>
      </c>
      <c r="E160">
        <v>627.41859289398883</v>
      </c>
      <c r="G160" t="s">
        <v>6</v>
      </c>
      <c r="H160">
        <v>149.184660000024</v>
      </c>
      <c r="I160">
        <f>DTDRpat_result0__2[[#This Row],[gap of angle (rad)2]]*10000</f>
        <v>0.94880324843897001</v>
      </c>
      <c r="J160">
        <v>9.4880324843897007E-5</v>
      </c>
      <c r="K160" t="s">
        <v>7</v>
      </c>
      <c r="M160" t="s">
        <v>6</v>
      </c>
      <c r="N160">
        <v>149.184660000024</v>
      </c>
      <c r="O160">
        <f>DTDRpat_result0__3[[#This Row],[gap of angle (rad)2]]*10000</f>
        <v>1.0722881916034308</v>
      </c>
      <c r="P160">
        <v>1.0722881916034307E-4</v>
      </c>
    </row>
    <row r="161" spans="1:16" x14ac:dyDescent="0.3">
      <c r="A161" t="s">
        <v>6</v>
      </c>
      <c r="B161">
        <v>149.184660000024</v>
      </c>
      <c r="C161">
        <f>DTDRpat_result0_1[[#This Row],[gap of angle (rad)2]]*10000</f>
        <v>0.88010100567725569</v>
      </c>
      <c r="D161">
        <v>8.8010100567725567E-5</v>
      </c>
      <c r="E161">
        <v>630.0001126372523</v>
      </c>
      <c r="G161" t="s">
        <v>6</v>
      </c>
      <c r="H161">
        <v>149.184660000024</v>
      </c>
      <c r="I161">
        <f>DTDRpat_result0__2[[#This Row],[gap of angle (rad)2]]*10000</f>
        <v>0.93682655948658411</v>
      </c>
      <c r="J161">
        <v>9.3682655948658416E-5</v>
      </c>
      <c r="K161" t="s">
        <v>8</v>
      </c>
      <c r="M161" t="s">
        <v>6</v>
      </c>
      <c r="N161">
        <v>149.184660000024</v>
      </c>
      <c r="O161">
        <f>DTDRpat_result0__3[[#This Row],[gap of angle (rad)2]]*10000</f>
        <v>1.0571559474804681</v>
      </c>
      <c r="P161">
        <v>1.0571559474804682E-4</v>
      </c>
    </row>
    <row r="162" spans="1:16" x14ac:dyDescent="0.3">
      <c r="A162" t="s">
        <v>6</v>
      </c>
      <c r="B162">
        <v>151.07608600002158</v>
      </c>
      <c r="C162">
        <f>DTDRpat_result0_1[[#This Row],[gap of angle (rad)2]]*10000</f>
        <v>0.87253106512126077</v>
      </c>
      <c r="D162">
        <v>8.7253106512126077E-5</v>
      </c>
      <c r="E162">
        <v>632.72685356960051</v>
      </c>
      <c r="G162" t="s">
        <v>6</v>
      </c>
      <c r="H162">
        <v>151.07608600002158</v>
      </c>
      <c r="I162">
        <f>DTDRpat_result0__2[[#This Row],[gap of angle (rad)2]]*10000</f>
        <v>0.93635910294003566</v>
      </c>
      <c r="J162">
        <v>9.3635910294003567E-5</v>
      </c>
      <c r="K162" t="s">
        <v>7</v>
      </c>
      <c r="M162" t="s">
        <v>6</v>
      </c>
      <c r="N162">
        <v>151.07608600002158</v>
      </c>
      <c r="O162">
        <f>DTDRpat_result0__3[[#This Row],[gap of angle (rad)2]]*10000</f>
        <v>1.0688204685210558</v>
      </c>
      <c r="P162">
        <v>1.0688204685210558E-4</v>
      </c>
    </row>
    <row r="163" spans="1:16" x14ac:dyDescent="0.3">
      <c r="A163" t="s">
        <v>6</v>
      </c>
      <c r="B163">
        <v>151.07608600002158</v>
      </c>
      <c r="C163">
        <f>DTDRpat_result0_1[[#This Row],[gap of angle (rad)2]]*10000</f>
        <v>0.86577591876757787</v>
      </c>
      <c r="D163">
        <v>8.6577591876757791E-5</v>
      </c>
      <c r="E163">
        <v>635.1902100190996</v>
      </c>
      <c r="G163" t="s">
        <v>6</v>
      </c>
      <c r="H163">
        <v>151.07608600002158</v>
      </c>
      <c r="I163">
        <f>DTDRpat_result0__2[[#This Row],[gap of angle (rad)2]]*10000</f>
        <v>0.92512819746050101</v>
      </c>
      <c r="J163">
        <v>9.2512819746050104E-5</v>
      </c>
      <c r="K163" t="s">
        <v>8</v>
      </c>
      <c r="M163" t="s">
        <v>6</v>
      </c>
      <c r="N163">
        <v>151.07608600002158</v>
      </c>
      <c r="O163">
        <f>DTDRpat_result0__3[[#This Row],[gap of angle (rad)2]]*10000</f>
        <v>1.0543458210317878</v>
      </c>
      <c r="P163">
        <v>1.0543458210317878E-4</v>
      </c>
    </row>
    <row r="164" spans="1:16" x14ac:dyDescent="0.3">
      <c r="A164" t="s">
        <v>6</v>
      </c>
      <c r="B164">
        <v>152.95498600001915</v>
      </c>
      <c r="C164">
        <f>DTDRpat_result0_1[[#This Row],[gap of angle (rad)2]]*10000</f>
        <v>0.85883276596130842</v>
      </c>
      <c r="D164">
        <v>8.5883276596130837E-5</v>
      </c>
      <c r="E164">
        <v>637.75235309248819</v>
      </c>
      <c r="G164" t="s">
        <v>6</v>
      </c>
      <c r="H164">
        <v>152.95498600001915</v>
      </c>
      <c r="I164">
        <f>DTDRpat_result0__2[[#This Row],[gap of angle (rad)2]]*10000</f>
        <v>0.92476558380169016</v>
      </c>
      <c r="J164">
        <v>9.247655838016902E-5</v>
      </c>
      <c r="K164" t="s">
        <v>7</v>
      </c>
      <c r="M164" t="s">
        <v>6</v>
      </c>
      <c r="N164">
        <v>152.95498600001915</v>
      </c>
      <c r="O164">
        <f>DTDRpat_result0__3[[#This Row],[gap of angle (rad)2]]*10000</f>
        <v>1.065493087313246</v>
      </c>
      <c r="P164">
        <v>1.0654930873132459E-4</v>
      </c>
    </row>
    <row r="165" spans="1:16" x14ac:dyDescent="0.3">
      <c r="A165" t="s">
        <v>6</v>
      </c>
      <c r="B165">
        <v>152.95498600001915</v>
      </c>
      <c r="C165">
        <f>DTDRpat_result0_1[[#This Row],[gap of angle (rad)2]]*10000</f>
        <v>0.8525688929419929</v>
      </c>
      <c r="D165">
        <v>8.5256889294199286E-5</v>
      </c>
      <c r="E165">
        <v>640.09062834408758</v>
      </c>
      <c r="G165" t="s">
        <v>6</v>
      </c>
      <c r="H165">
        <v>152.95498600001915</v>
      </c>
      <c r="I165">
        <f>DTDRpat_result0__2[[#This Row],[gap of angle (rad)2]]*10000</f>
        <v>0.91427887224159488</v>
      </c>
      <c r="J165">
        <v>9.1427887224159487E-5</v>
      </c>
      <c r="K165" t="s">
        <v>8</v>
      </c>
      <c r="M165" t="s">
        <v>6</v>
      </c>
      <c r="N165">
        <v>152.95498600001915</v>
      </c>
      <c r="O165">
        <f>DTDRpat_result0__3[[#This Row],[gap of angle (rad)2]]*10000</f>
        <v>1.0517231869420938</v>
      </c>
      <c r="P165">
        <v>1.0517231869420938E-4</v>
      </c>
    </row>
    <row r="166" spans="1:16" x14ac:dyDescent="0.3">
      <c r="A166" t="s">
        <v>6</v>
      </c>
      <c r="B166">
        <v>154.8464120000167</v>
      </c>
      <c r="C166">
        <f>DTDRpat_result0_1[[#This Row],[gap of angle (rad)2]]*10000</f>
        <v>0.84606398514260728</v>
      </c>
      <c r="D166">
        <v>8.4606398514260731E-5</v>
      </c>
      <c r="E166">
        <v>642.54629908195557</v>
      </c>
      <c r="G166" t="s">
        <v>6</v>
      </c>
      <c r="H166">
        <v>154.8464120000167</v>
      </c>
      <c r="I166">
        <f>DTDRpat_result0__2[[#This Row],[gap of angle (rad)2]]*10000</f>
        <v>0.91387152435685848</v>
      </c>
      <c r="J166">
        <v>9.1387152435685844E-5</v>
      </c>
      <c r="K166" t="s">
        <v>7</v>
      </c>
      <c r="M166" t="s">
        <v>6</v>
      </c>
      <c r="N166">
        <v>154.8464120000167</v>
      </c>
      <c r="O166">
        <f>DTDRpat_result0__3[[#This Row],[gap of angle (rad)2]]*10000</f>
        <v>1.0622741109558085</v>
      </c>
      <c r="P166">
        <v>1.0622741109558085E-4</v>
      </c>
    </row>
    <row r="167" spans="1:16" x14ac:dyDescent="0.3">
      <c r="A167" t="s">
        <v>6</v>
      </c>
      <c r="B167">
        <v>154.8464120000167</v>
      </c>
      <c r="C167">
        <f>DTDRpat_result0_1[[#This Row],[gap of angle (rad)2]]*10000</f>
        <v>0.84028587406864141</v>
      </c>
      <c r="D167">
        <v>8.4028587406864146E-5</v>
      </c>
      <c r="E167">
        <v>644.75145132718364</v>
      </c>
      <c r="G167" t="s">
        <v>6</v>
      </c>
      <c r="H167">
        <v>154.8464120000167</v>
      </c>
      <c r="I167">
        <f>DTDRpat_result0__2[[#This Row],[gap of angle (rad)2]]*10000</f>
        <v>0.90413514842735787</v>
      </c>
      <c r="J167">
        <v>9.0413514842735789E-5</v>
      </c>
      <c r="K167" t="s">
        <v>8</v>
      </c>
      <c r="M167" t="s">
        <v>6</v>
      </c>
      <c r="N167">
        <v>154.8464120000167</v>
      </c>
      <c r="O167">
        <f>DTDRpat_result0__3[[#This Row],[gap of angle (rad)2]]*10000</f>
        <v>1.0492619408752268</v>
      </c>
      <c r="P167">
        <v>1.0492619408752268E-4</v>
      </c>
    </row>
    <row r="168" spans="1:16" x14ac:dyDescent="0.3">
      <c r="A168" t="s">
        <v>6</v>
      </c>
      <c r="B168">
        <v>156.7253120000143</v>
      </c>
      <c r="C168">
        <f>DTDRpat_result0_1[[#This Row],[gap of angle (rad)2]]*10000</f>
        <v>0.83437568187033295</v>
      </c>
      <c r="D168">
        <v>8.3437568187033292E-5</v>
      </c>
      <c r="E168">
        <v>647.03065014369156</v>
      </c>
      <c r="G168" t="s">
        <v>6</v>
      </c>
      <c r="H168">
        <v>156.7253120000143</v>
      </c>
      <c r="I168">
        <f>DTDRpat_result0__2[[#This Row],[gap of angle (rad)2]]*10000</f>
        <v>0.90382246102697161</v>
      </c>
      <c r="J168">
        <v>9.0382246102697157E-5</v>
      </c>
      <c r="K168" t="s">
        <v>7</v>
      </c>
      <c r="M168" t="s">
        <v>6</v>
      </c>
      <c r="N168">
        <v>156.7253120000143</v>
      </c>
      <c r="O168">
        <f>DTDRpat_result0__3[[#This Row],[gap of angle (rad)2]]*10000</f>
        <v>1.0592177334500938</v>
      </c>
      <c r="P168">
        <v>1.0592177334500939E-4</v>
      </c>
    </row>
    <row r="169" spans="1:16" x14ac:dyDescent="0.3">
      <c r="A169" t="s">
        <v>6</v>
      </c>
      <c r="B169">
        <v>156.7253120000143</v>
      </c>
      <c r="C169">
        <f>DTDRpat_result0_1[[#This Row],[gap of angle (rad)2]]*10000</f>
        <v>0.829071309713031</v>
      </c>
      <c r="D169">
        <v>8.2907130971303096E-5</v>
      </c>
      <c r="E169">
        <v>649.09693320963584</v>
      </c>
      <c r="G169" t="s">
        <v>6</v>
      </c>
      <c r="H169">
        <v>156.7253120000143</v>
      </c>
      <c r="I169">
        <f>DTDRpat_result0__2[[#This Row],[gap of angle (rad)2]]*10000</f>
        <v>0.89483105784023875</v>
      </c>
      <c r="J169">
        <v>8.9483105784023871E-5</v>
      </c>
      <c r="K169" t="s">
        <v>8</v>
      </c>
      <c r="M169" t="s">
        <v>6</v>
      </c>
      <c r="N169">
        <v>156.7253120000143</v>
      </c>
      <c r="O169">
        <f>DTDRpat_result0__3[[#This Row],[gap of angle (rad)2]]*10000</f>
        <v>1.0470028800640523</v>
      </c>
      <c r="P169">
        <v>1.0470028800640522E-4</v>
      </c>
    </row>
    <row r="170" spans="1:16" x14ac:dyDescent="0.3">
      <c r="A170" t="s">
        <v>6</v>
      </c>
      <c r="B170">
        <v>158.60421200001187</v>
      </c>
      <c r="C170">
        <f>DTDRpat_result0_1[[#This Row],[gap of angle (rad)2]]*10000</f>
        <v>0.8236618166441142</v>
      </c>
      <c r="D170">
        <v>8.2366181664411423E-5</v>
      </c>
      <c r="E170">
        <v>651.22467527602214</v>
      </c>
      <c r="G170" t="s">
        <v>6</v>
      </c>
      <c r="H170">
        <v>158.60421200001187</v>
      </c>
      <c r="I170">
        <f>DTDRpat_result0__2[[#This Row],[gap of angle (rad)2]]*10000</f>
        <v>0.89454322959467414</v>
      </c>
      <c r="J170">
        <v>8.9454322959467411E-5</v>
      </c>
      <c r="K170" t="s">
        <v>7</v>
      </c>
      <c r="M170" t="s">
        <v>6</v>
      </c>
      <c r="N170">
        <v>158.60421200001187</v>
      </c>
      <c r="O170">
        <f>DTDRpat_result0__3[[#This Row],[gap of angle (rad)2]]*10000</f>
        <v>1.056312858933786</v>
      </c>
      <c r="P170">
        <v>1.056312858933786E-4</v>
      </c>
    </row>
    <row r="171" spans="1:16" x14ac:dyDescent="0.3">
      <c r="A171" t="s">
        <v>6</v>
      </c>
      <c r="B171">
        <v>158.60421200001187</v>
      </c>
      <c r="C171">
        <f>DTDRpat_result0_1[[#This Row],[gap of angle (rad)2]]*10000</f>
        <v>0.81882238735566026</v>
      </c>
      <c r="D171">
        <v>8.1882238735566024E-5</v>
      </c>
      <c r="E171">
        <v>653.14600745670202</v>
      </c>
      <c r="G171" t="s">
        <v>6</v>
      </c>
      <c r="H171">
        <v>158.60421200001187</v>
      </c>
      <c r="I171">
        <f>DTDRpat_result0__2[[#This Row],[gap of angle (rad)2]]*10000</f>
        <v>0.8862950883916153</v>
      </c>
      <c r="J171">
        <v>8.8629508839161529E-5</v>
      </c>
      <c r="K171" t="s">
        <v>8</v>
      </c>
      <c r="M171" t="s">
        <v>6</v>
      </c>
      <c r="N171">
        <v>158.60421200001187</v>
      </c>
      <c r="O171">
        <f>DTDRpat_result0__3[[#This Row],[gap of angle (rad)2]]*10000</f>
        <v>1.0449363617141147</v>
      </c>
      <c r="P171">
        <v>1.0449363617141147E-4</v>
      </c>
    </row>
    <row r="172" spans="1:16" x14ac:dyDescent="0.3">
      <c r="A172" t="s">
        <v>6</v>
      </c>
      <c r="B172">
        <v>160.48311200000947</v>
      </c>
      <c r="C172">
        <f>DTDRpat_result0_1[[#This Row],[gap of angle (rad)2]]*10000</f>
        <v>0.81390434374903009</v>
      </c>
      <c r="D172">
        <v>8.1390434374903009E-5</v>
      </c>
      <c r="E172">
        <v>655.11608118598929</v>
      </c>
      <c r="G172" t="s">
        <v>6</v>
      </c>
      <c r="H172">
        <v>160.48311200000947</v>
      </c>
      <c r="I172">
        <f>DTDRpat_result0__2[[#This Row],[gap of angle (rad)2]]*10000</f>
        <v>0.88603204166327432</v>
      </c>
      <c r="J172">
        <v>8.8603204166327432E-5</v>
      </c>
      <c r="K172" t="s">
        <v>7</v>
      </c>
      <c r="M172" t="s">
        <v>6</v>
      </c>
      <c r="N172">
        <v>160.48311200000947</v>
      </c>
      <c r="O172">
        <f>DTDRpat_result0__3[[#This Row],[gap of angle (rad)2]]*10000</f>
        <v>1.0535696449961132</v>
      </c>
      <c r="P172">
        <v>1.0535696449961132E-4</v>
      </c>
    </row>
    <row r="173" spans="1:16" x14ac:dyDescent="0.3">
      <c r="A173" t="s">
        <v>6</v>
      </c>
      <c r="B173">
        <v>160.48311200000947</v>
      </c>
      <c r="C173">
        <f>DTDRpat_result0_1[[#This Row],[gap of angle (rad)2]]*10000</f>
        <v>0.80952137797645762</v>
      </c>
      <c r="D173">
        <v>8.0952137797645765E-5</v>
      </c>
      <c r="E173">
        <v>656.88689725365964</v>
      </c>
      <c r="G173" t="s">
        <v>6</v>
      </c>
      <c r="H173">
        <v>160.48311200000947</v>
      </c>
      <c r="I173">
        <f>DTDRpat_result0__2[[#This Row],[gap of angle (rad)2]]*10000</f>
        <v>0.8785246331740475</v>
      </c>
      <c r="J173">
        <v>8.7852463317404745E-5</v>
      </c>
      <c r="K173" t="s">
        <v>8</v>
      </c>
      <c r="M173" t="s">
        <v>6</v>
      </c>
      <c r="N173">
        <v>160.48311200000947</v>
      </c>
      <c r="O173">
        <f>DTDRpat_result0__3[[#This Row],[gap of angle (rad)2]]*10000</f>
        <v>1.0430690117993853</v>
      </c>
      <c r="P173">
        <v>1.0430690117993852E-4</v>
      </c>
    </row>
    <row r="174" spans="1:16" x14ac:dyDescent="0.3">
      <c r="A174" t="s">
        <v>6</v>
      </c>
      <c r="B174">
        <v>162.37453800000702</v>
      </c>
      <c r="C174">
        <f>DTDRpat_result0_1[[#This Row],[gap of angle (rad)2]]*10000</f>
        <v>0.80503019654132946</v>
      </c>
      <c r="D174">
        <v>8.0503019654132947E-5</v>
      </c>
      <c r="E174">
        <v>658.71641254318024</v>
      </c>
      <c r="G174" t="s">
        <v>6</v>
      </c>
      <c r="H174">
        <v>162.37453800000702</v>
      </c>
      <c r="I174">
        <f>DTDRpat_result0__2[[#This Row],[gap of angle (rad)2]]*10000</f>
        <v>0.87823713678856841</v>
      </c>
      <c r="J174">
        <v>8.7823713678856846E-5</v>
      </c>
      <c r="K174" t="s">
        <v>7</v>
      </c>
      <c r="M174" t="s">
        <v>6</v>
      </c>
      <c r="N174">
        <v>162.37453800000702</v>
      </c>
      <c r="O174">
        <f>DTDRpat_result0__3[[#This Row],[gap of angle (rad)2]]*10000</f>
        <v>1.0509807903871289</v>
      </c>
      <c r="P174">
        <v>1.0509807903871289E-4</v>
      </c>
    </row>
    <row r="175" spans="1:16" x14ac:dyDescent="0.3">
      <c r="A175" t="s">
        <v>6</v>
      </c>
      <c r="B175">
        <v>162.37453800000702</v>
      </c>
      <c r="C175">
        <f>DTDRpat_result0_1[[#This Row],[gap of angle (rad)2]]*10000</f>
        <v>0.80109849706467384</v>
      </c>
      <c r="D175">
        <v>8.010984970646738E-5</v>
      </c>
      <c r="E175">
        <v>660.33060465394658</v>
      </c>
      <c r="G175" t="s">
        <v>6</v>
      </c>
      <c r="H175">
        <v>162.37453800000702</v>
      </c>
      <c r="I175">
        <f>DTDRpat_result0__2[[#This Row],[gap of angle (rad)2]]*10000</f>
        <v>0.87147212818954733</v>
      </c>
      <c r="J175">
        <v>8.7147212818954731E-5</v>
      </c>
      <c r="K175" t="s">
        <v>8</v>
      </c>
      <c r="M175" t="s">
        <v>6</v>
      </c>
      <c r="N175">
        <v>162.37453800000702</v>
      </c>
      <c r="O175">
        <f>DTDRpat_result0__3[[#This Row],[gap of angle (rad)2]]*10000</f>
        <v>1.041396368717906</v>
      </c>
      <c r="P175">
        <v>1.0413963687179059E-4</v>
      </c>
    </row>
    <row r="176" spans="1:16" x14ac:dyDescent="0.3">
      <c r="A176" t="s">
        <v>6</v>
      </c>
      <c r="B176">
        <v>164.2659640000046</v>
      </c>
      <c r="C176">
        <f>DTDRpat_result0_1[[#This Row],[gap of angle (rad)2]]*10000</f>
        <v>0.79709067733073591</v>
      </c>
      <c r="D176">
        <v>7.9709067733073591E-5</v>
      </c>
      <c r="E176">
        <v>661.98831925302591</v>
      </c>
      <c r="G176" t="s">
        <v>6</v>
      </c>
      <c r="H176">
        <v>164.2659640000046</v>
      </c>
      <c r="I176">
        <f>DTDRpat_result0__2[[#This Row],[gap of angle (rad)2]]*10000</f>
        <v>0.87121453307028451</v>
      </c>
      <c r="J176">
        <v>8.7121453307028451E-5</v>
      </c>
      <c r="K176" t="s">
        <v>7</v>
      </c>
      <c r="M176" t="s">
        <v>6</v>
      </c>
      <c r="N176">
        <v>164.2659640000046</v>
      </c>
      <c r="O176">
        <f>DTDRpat_result0__3[[#This Row],[gap of angle (rad)2]]*10000</f>
        <v>1.048573908609568</v>
      </c>
      <c r="P176">
        <v>1.048573908609568E-4</v>
      </c>
    </row>
    <row r="177" spans="1:16" x14ac:dyDescent="0.3">
      <c r="A177" t="s">
        <v>6</v>
      </c>
      <c r="B177">
        <v>164.2659640000046</v>
      </c>
      <c r="C177">
        <f>DTDRpat_result0_1[[#This Row],[gap of angle (rad)2]]*10000</f>
        <v>0.79360252271971254</v>
      </c>
      <c r="D177">
        <v>7.9360252271971256E-5</v>
      </c>
      <c r="E177">
        <v>663.44127963110566</v>
      </c>
      <c r="G177" t="s">
        <v>6</v>
      </c>
      <c r="H177">
        <v>164.2659640000046</v>
      </c>
      <c r="I177">
        <f>DTDRpat_result0__2[[#This Row],[gap of angle (rad)2]]*10000</f>
        <v>0.86518831579881728</v>
      </c>
      <c r="J177">
        <v>8.6518831579881724E-5</v>
      </c>
      <c r="K177" t="s">
        <v>8</v>
      </c>
      <c r="M177" t="s">
        <v>6</v>
      </c>
      <c r="N177">
        <v>164.2659640000046</v>
      </c>
      <c r="O177">
        <f>DTDRpat_result0__3[[#This Row],[gap of angle (rad)2]]*10000</f>
        <v>1.0399368485356693</v>
      </c>
      <c r="P177">
        <v>1.0399368485356692E-4</v>
      </c>
    </row>
    <row r="178" spans="1:16" x14ac:dyDescent="0.3">
      <c r="A178" t="s">
        <v>6</v>
      </c>
      <c r="B178">
        <v>166.14486400000217</v>
      </c>
      <c r="C178">
        <f>DTDRpat_result0_1[[#This Row],[gap of angle (rad)2]]*10000</f>
        <v>0.79011348390872072</v>
      </c>
      <c r="D178">
        <v>7.9011348390872066E-5</v>
      </c>
      <c r="E178">
        <v>664.90418831266368</v>
      </c>
      <c r="G178" t="s">
        <v>6</v>
      </c>
      <c r="H178">
        <v>166.14486400000217</v>
      </c>
      <c r="I178">
        <f>DTDRpat_result0__2[[#This Row],[gap of angle (rad)2]]*10000</f>
        <v>0.8649992646741792</v>
      </c>
      <c r="J178">
        <v>8.649992646741792E-5</v>
      </c>
      <c r="K178" t="s">
        <v>7</v>
      </c>
      <c r="M178" t="s">
        <v>6</v>
      </c>
      <c r="N178">
        <v>166.14486400000217</v>
      </c>
      <c r="O178">
        <f>DTDRpat_result0__3[[#This Row],[gap of angle (rad)2]]*10000</f>
        <v>1.0463710834953486</v>
      </c>
      <c r="P178">
        <v>1.0463710834953486E-4</v>
      </c>
    </row>
    <row r="179" spans="1:16" x14ac:dyDescent="0.3">
      <c r="A179" t="s">
        <v>6</v>
      </c>
      <c r="B179">
        <v>166.14486400000217</v>
      </c>
      <c r="C179">
        <f>DTDRpat_result0_1[[#This Row],[gap of angle (rad)2]]*10000</f>
        <v>0.78705886696310434</v>
      </c>
      <c r="D179">
        <v>7.8705886696310437E-5</v>
      </c>
      <c r="E179">
        <v>666.19292572959364</v>
      </c>
      <c r="G179" t="s">
        <v>6</v>
      </c>
      <c r="H179">
        <v>166.14486400000217</v>
      </c>
      <c r="I179">
        <f>DTDRpat_result0__2[[#This Row],[gap of angle (rad)2]]*10000</f>
        <v>0.85970322460368387</v>
      </c>
      <c r="J179">
        <v>8.597032246036839E-5</v>
      </c>
      <c r="K179" t="s">
        <v>8</v>
      </c>
      <c r="M179" t="s">
        <v>6</v>
      </c>
      <c r="N179">
        <v>166.14486400000217</v>
      </c>
      <c r="O179">
        <f>DTDRpat_result0__3[[#This Row],[gap of angle (rad)2]]*10000</f>
        <v>1.0387025192651509</v>
      </c>
      <c r="P179">
        <v>1.038702519265151E-4</v>
      </c>
    </row>
    <row r="180" spans="1:16" x14ac:dyDescent="0.3">
      <c r="A180" t="s">
        <v>6</v>
      </c>
      <c r="B180">
        <v>168.03628999999975</v>
      </c>
      <c r="C180">
        <f>DTDRpat_result0_1[[#This Row],[gap of angle (rad)2]]*10000</f>
        <v>0.78399125819915483</v>
      </c>
      <c r="D180">
        <v>7.8399125819915487E-5</v>
      </c>
      <c r="E180">
        <v>667.4946858830757</v>
      </c>
      <c r="G180" t="s">
        <v>6</v>
      </c>
      <c r="H180">
        <v>168.03628999999975</v>
      </c>
      <c r="I180">
        <f>DTDRpat_result0__2[[#This Row],[gap of angle (rad)2]]*10000</f>
        <v>0.85950462267782979</v>
      </c>
      <c r="J180">
        <v>8.5950462267782974E-5</v>
      </c>
      <c r="K180" t="s">
        <v>7</v>
      </c>
      <c r="M180" t="s">
        <v>6</v>
      </c>
      <c r="N180">
        <v>168.03628999999975</v>
      </c>
      <c r="O180">
        <f>DTDRpat_result0__3[[#This Row],[gap of angle (rad)2]]*10000</f>
        <v>1.0443501019179129</v>
      </c>
      <c r="P180">
        <v>1.044350101917913E-4</v>
      </c>
    </row>
    <row r="181" spans="1:16" x14ac:dyDescent="0.3">
      <c r="A181" t="s">
        <v>6</v>
      </c>
      <c r="B181">
        <v>168.03628999999975</v>
      </c>
      <c r="C181">
        <f>DTDRpat_result0_1[[#This Row],[gap of angle (rad)2]]*10000</f>
        <v>0.78136662432149706</v>
      </c>
      <c r="D181">
        <v>7.8136662432149701E-5</v>
      </c>
      <c r="E181">
        <v>668.61452101676548</v>
      </c>
      <c r="G181" t="s">
        <v>6</v>
      </c>
      <c r="H181">
        <v>168.03628999999975</v>
      </c>
      <c r="I181">
        <f>DTDRpat_result0__2[[#This Row],[gap of angle (rad)2]]*10000</f>
        <v>0.85494000487173094</v>
      </c>
      <c r="J181">
        <v>8.5494000487173092E-5</v>
      </c>
      <c r="K181" t="s">
        <v>8</v>
      </c>
      <c r="M181" t="s">
        <v>6</v>
      </c>
      <c r="N181">
        <v>168.03628999999975</v>
      </c>
      <c r="O181">
        <f>DTDRpat_result0__3[[#This Row],[gap of angle (rad)2]]*10000</f>
        <v>1.0376807251384701</v>
      </c>
      <c r="P181">
        <v>1.0376807251384702E-4</v>
      </c>
    </row>
    <row r="182" spans="1:16" x14ac:dyDescent="0.3">
      <c r="A182" t="s">
        <v>6</v>
      </c>
      <c r="B182">
        <v>169.9277159999973</v>
      </c>
      <c r="C182">
        <f>DTDRpat_result0_1[[#This Row],[gap of angle (rad)2]]*10000</f>
        <v>0.77876048848779211</v>
      </c>
      <c r="D182">
        <v>7.7876048848779213E-5</v>
      </c>
      <c r="E182">
        <v>669.73203069987073</v>
      </c>
      <c r="G182" t="s">
        <v>6</v>
      </c>
      <c r="H182">
        <v>169.9277159999973</v>
      </c>
      <c r="I182">
        <f>DTDRpat_result0__2[[#This Row],[gap of angle (rad)2]]*10000</f>
        <v>0.85477080683562567</v>
      </c>
      <c r="J182">
        <v>8.5477080683562569E-5</v>
      </c>
      <c r="K182" t="s">
        <v>7</v>
      </c>
      <c r="M182" t="s">
        <v>6</v>
      </c>
      <c r="N182">
        <v>169.9277159999973</v>
      </c>
      <c r="O182">
        <f>DTDRpat_result0__3[[#This Row],[gap of angle (rad)2]]*10000</f>
        <v>1.042532904884071</v>
      </c>
      <c r="P182">
        <v>1.0425329048840711E-4</v>
      </c>
    </row>
    <row r="183" spans="1:16" x14ac:dyDescent="0.3">
      <c r="A183" t="s">
        <v>6</v>
      </c>
      <c r="B183">
        <v>169.9277159999973</v>
      </c>
      <c r="C183">
        <f>DTDRpat_result0_1[[#This Row],[gap of angle (rad)2]]*10000</f>
        <v>0.77656024466139928</v>
      </c>
      <c r="D183">
        <v>7.7656024466139933E-5</v>
      </c>
      <c r="E183">
        <v>670.67986595096556</v>
      </c>
      <c r="G183" t="s">
        <v>6</v>
      </c>
      <c r="H183">
        <v>169.9277159999973</v>
      </c>
      <c r="I183">
        <f>DTDRpat_result0__2[[#This Row],[gap of angle (rad)2]]*10000</f>
        <v>0.85093401656487744</v>
      </c>
      <c r="J183">
        <v>8.5093401656487739E-5</v>
      </c>
      <c r="K183" t="s">
        <v>8</v>
      </c>
      <c r="M183" t="s">
        <v>6</v>
      </c>
      <c r="N183">
        <v>169.9277159999973</v>
      </c>
      <c r="O183">
        <f>DTDRpat_result0__3[[#This Row],[gap of angle (rad)2]]*10000</f>
        <v>1.0368835834927832</v>
      </c>
      <c r="P183">
        <v>1.0368835834927833E-4</v>
      </c>
    </row>
    <row r="184" spans="1:16" x14ac:dyDescent="0.3">
      <c r="A184" t="s">
        <v>6</v>
      </c>
      <c r="B184">
        <v>171.8066159999949</v>
      </c>
      <c r="C184">
        <f>DTDRpat_result0_1[[#This Row],[gap of angle (rad)2]]*10000</f>
        <v>0.77443582644649522</v>
      </c>
      <c r="D184">
        <v>7.7443582644649524E-5</v>
      </c>
      <c r="E184">
        <v>671.59880306252944</v>
      </c>
      <c r="G184" t="s">
        <v>6</v>
      </c>
      <c r="H184">
        <v>171.8066159999949</v>
      </c>
      <c r="I184">
        <f>DTDRpat_result0__2[[#This Row],[gap of angle (rad)2]]*10000</f>
        <v>0.85081792850291704</v>
      </c>
      <c r="J184">
        <v>8.5081792850291707E-5</v>
      </c>
      <c r="K184" t="s">
        <v>7</v>
      </c>
      <c r="M184" t="s">
        <v>6</v>
      </c>
      <c r="N184">
        <v>171.8066159999949</v>
      </c>
      <c r="O184">
        <f>DTDRpat_result0__3[[#This Row],[gap of angle (rad)2]]*10000</f>
        <v>1.0409351290251003</v>
      </c>
      <c r="P184">
        <v>1.0409351290251002E-4</v>
      </c>
    </row>
    <row r="185" spans="1:16" x14ac:dyDescent="0.3">
      <c r="A185" t="s">
        <v>6</v>
      </c>
      <c r="B185">
        <v>171.8066159999949</v>
      </c>
      <c r="C185">
        <f>DTDRpat_result0_1[[#This Row],[gap of angle (rad)2]]*10000</f>
        <v>0.77265232284515484</v>
      </c>
      <c r="D185">
        <v>7.7265232284515488E-5</v>
      </c>
      <c r="E185">
        <v>672.37320068424651</v>
      </c>
      <c r="G185" t="s">
        <v>6</v>
      </c>
      <c r="H185">
        <v>171.8066159999949</v>
      </c>
      <c r="I185">
        <f>DTDRpat_result0__2[[#This Row],[gap of angle (rad)2]]*10000</f>
        <v>0.84770107678124818</v>
      </c>
      <c r="J185">
        <v>8.4770107678124816E-5</v>
      </c>
      <c r="K185" t="s">
        <v>8</v>
      </c>
      <c r="M185" t="s">
        <v>6</v>
      </c>
      <c r="N185">
        <v>171.8066159999949</v>
      </c>
      <c r="O185">
        <f>DTDRpat_result0__3[[#This Row],[gap of angle (rad)2]]*10000</f>
        <v>1.0363166050899593</v>
      </c>
      <c r="P185">
        <v>1.0363166050899592E-4</v>
      </c>
    </row>
    <row r="186" spans="1:16" x14ac:dyDescent="0.3">
      <c r="A186" t="s">
        <v>6</v>
      </c>
      <c r="B186">
        <v>173.69804199999245</v>
      </c>
      <c r="C186">
        <f>DTDRpat_result0_1[[#This Row],[gap of angle (rad)2]]*10000</f>
        <v>0.77095005061913247</v>
      </c>
      <c r="D186">
        <v>7.7095005061913243E-5</v>
      </c>
      <c r="E186">
        <v>673.11477225447777</v>
      </c>
      <c r="G186" t="s">
        <v>6</v>
      </c>
      <c r="H186">
        <v>173.69804199999245</v>
      </c>
      <c r="I186">
        <f>DTDRpat_result0__2[[#This Row],[gap of angle (rad)2]]*10000</f>
        <v>0.84759004734852039</v>
      </c>
      <c r="J186">
        <v>8.4759004734852043E-5</v>
      </c>
      <c r="K186" t="s">
        <v>7</v>
      </c>
      <c r="M186" t="s">
        <v>6</v>
      </c>
      <c r="N186">
        <v>173.69804199999245</v>
      </c>
      <c r="O186">
        <f>DTDRpat_result0__3[[#This Row],[gap of angle (rad)2]]*10000</f>
        <v>1.0395405808372646</v>
      </c>
      <c r="P186">
        <v>1.0395405808372646E-4</v>
      </c>
    </row>
    <row r="187" spans="1:16" x14ac:dyDescent="0.3">
      <c r="A187" t="s">
        <v>6</v>
      </c>
      <c r="B187">
        <v>173.69804199999245</v>
      </c>
      <c r="C187">
        <f>DTDRpat_result0_1[[#This Row],[gap of angle (rad)2]]*10000</f>
        <v>0.76958203642840739</v>
      </c>
      <c r="D187">
        <v>7.695820364284074E-5</v>
      </c>
      <c r="E187">
        <v>673.71247210445097</v>
      </c>
      <c r="G187" t="s">
        <v>6</v>
      </c>
      <c r="H187">
        <v>173.69804199999245</v>
      </c>
      <c r="I187">
        <f>DTDRpat_result0__2[[#This Row],[gap of angle (rad)2]]*10000</f>
        <v>0.84519525555182251</v>
      </c>
      <c r="J187">
        <v>8.4519525555182254E-5</v>
      </c>
      <c r="K187" t="s">
        <v>8</v>
      </c>
      <c r="M187" t="s">
        <v>6</v>
      </c>
      <c r="N187">
        <v>173.69804199999245</v>
      </c>
      <c r="O187">
        <f>DTDRpat_result0__3[[#This Row],[gap of angle (rad)2]]*10000</f>
        <v>1.0359738449870308</v>
      </c>
      <c r="P187">
        <v>1.0359738449870309E-4</v>
      </c>
    </row>
    <row r="188" spans="1:16" x14ac:dyDescent="0.3">
      <c r="A188" t="s">
        <v>6</v>
      </c>
      <c r="B188">
        <v>175.58946799999003</v>
      </c>
      <c r="C188">
        <f>DTDRpat_result0_1[[#This Row],[gap of angle (rad)2]]*10000</f>
        <v>0.76832699149426031</v>
      </c>
      <c r="D188">
        <v>7.6832699149426029E-5</v>
      </c>
      <c r="E188">
        <v>674.26216817789077</v>
      </c>
      <c r="G188" t="s">
        <v>6</v>
      </c>
      <c r="H188">
        <v>175.58946799999003</v>
      </c>
      <c r="I188">
        <f>DTDRpat_result0__2[[#This Row],[gap of angle (rad)2]]*10000</f>
        <v>0.84511329795367263</v>
      </c>
      <c r="J188">
        <v>8.4511329795367262E-5</v>
      </c>
      <c r="K188" t="s">
        <v>7</v>
      </c>
      <c r="M188" t="s">
        <v>6</v>
      </c>
      <c r="N188">
        <v>175.58946799999003</v>
      </c>
      <c r="O188">
        <f>DTDRpat_result0__3[[#This Row],[gap of angle (rad)2]]*10000</f>
        <v>1.0383649304886111</v>
      </c>
      <c r="P188">
        <v>1.0383649304886111E-4</v>
      </c>
    </row>
    <row r="189" spans="1:16" x14ac:dyDescent="0.3">
      <c r="A189" t="s">
        <v>6</v>
      </c>
      <c r="B189">
        <v>175.58946799999003</v>
      </c>
      <c r="C189">
        <f>DTDRpat_result0_1[[#This Row],[gap of angle (rad)2]]*10000</f>
        <v>0.76737144830688808</v>
      </c>
      <c r="D189">
        <v>7.6737144830688804E-5</v>
      </c>
      <c r="E189">
        <v>674.68154845793856</v>
      </c>
      <c r="G189" t="s">
        <v>6</v>
      </c>
      <c r="H189">
        <v>175.58946799999003</v>
      </c>
      <c r="I189">
        <f>DTDRpat_result0__2[[#This Row],[gap of angle (rad)2]]*10000</f>
        <v>0.84343838200655952</v>
      </c>
      <c r="J189">
        <v>8.4343838200655953E-5</v>
      </c>
      <c r="K189" t="s">
        <v>8</v>
      </c>
      <c r="M189" t="s">
        <v>6</v>
      </c>
      <c r="N189">
        <v>175.58946799999003</v>
      </c>
      <c r="O189">
        <f>DTDRpat_result0__3[[#This Row],[gap of angle (rad)2]]*10000</f>
        <v>1.035860949022583</v>
      </c>
      <c r="P189">
        <v>1.035860949022583E-4</v>
      </c>
    </row>
    <row r="190" spans="1:16" x14ac:dyDescent="0.3">
      <c r="A190" t="s">
        <v>6</v>
      </c>
      <c r="B190">
        <v>177.48089399998759</v>
      </c>
      <c r="C190">
        <f>DTDRpat_result0_1[[#This Row],[gap of angle (rad)2]]*10000</f>
        <v>0.76656079046536862</v>
      </c>
      <c r="D190">
        <v>7.665607904653686E-5</v>
      </c>
      <c r="E190">
        <v>675.03788052435868</v>
      </c>
      <c r="G190" t="s">
        <v>6</v>
      </c>
      <c r="H190">
        <v>177.48089399998759</v>
      </c>
      <c r="I190">
        <f>DTDRpat_result0__2[[#This Row],[gap of angle (rad)2]]*10000</f>
        <v>0.84338534636926954</v>
      </c>
      <c r="J190">
        <v>8.4338534636926952E-5</v>
      </c>
      <c r="K190" t="s">
        <v>7</v>
      </c>
      <c r="M190" t="s">
        <v>6</v>
      </c>
      <c r="N190">
        <v>177.48089399998759</v>
      </c>
      <c r="O190">
        <f>DTDRpat_result0__3[[#This Row],[gap of angle (rad)2]]*10000</f>
        <v>1.0374118758974307</v>
      </c>
      <c r="P190">
        <v>1.0374118758974308E-4</v>
      </c>
    </row>
    <row r="191" spans="1:16" x14ac:dyDescent="0.3">
      <c r="A191" t="s">
        <v>6</v>
      </c>
      <c r="B191">
        <v>177.48089399998759</v>
      </c>
      <c r="C191">
        <f>DTDRpat_result0_1[[#This Row],[gap of angle (rad)2]]*10000</f>
        <v>0.76601547895199606</v>
      </c>
      <c r="D191">
        <v>7.6601547895199608E-5</v>
      </c>
      <c r="E191">
        <v>675.27780755139042</v>
      </c>
      <c r="G191" t="s">
        <v>6</v>
      </c>
      <c r="H191">
        <v>177.48089399998759</v>
      </c>
      <c r="I191">
        <f>DTDRpat_result0__2[[#This Row],[gap of angle (rad)2]]*10000</f>
        <v>0.84242875017197383</v>
      </c>
      <c r="J191">
        <v>8.4242875017197382E-5</v>
      </c>
      <c r="K191" t="s">
        <v>8</v>
      </c>
      <c r="M191" t="s">
        <v>6</v>
      </c>
      <c r="N191">
        <v>177.48089399998759</v>
      </c>
      <c r="O191">
        <f>DTDRpat_result0__3[[#This Row],[gap of angle (rad)2]]*10000</f>
        <v>1.0359782816950716</v>
      </c>
      <c r="P191">
        <v>1.0359782816950717E-4</v>
      </c>
    </row>
    <row r="192" spans="1:16" x14ac:dyDescent="0.3">
      <c r="A192" t="s">
        <v>6</v>
      </c>
      <c r="B192">
        <v>179.36605699998518</v>
      </c>
      <c r="C192">
        <f>DTDRpat_result0_1[[#This Row],[gap of angle (rad)2]]*10000</f>
        <v>0.76564896710133157</v>
      </c>
      <c r="D192">
        <v>7.6564896710133157E-5</v>
      </c>
      <c r="E192">
        <v>675.43910103683584</v>
      </c>
      <c r="G192" t="s">
        <v>6</v>
      </c>
      <c r="H192">
        <v>179.36605699998518</v>
      </c>
      <c r="I192">
        <f>DTDRpat_result0__2[[#This Row],[gap of angle (rad)2]]*10000</f>
        <v>0.84240670169097431</v>
      </c>
      <c r="J192">
        <v>8.4240670169097428E-5</v>
      </c>
      <c r="K192" t="s">
        <v>7</v>
      </c>
      <c r="M192" t="s">
        <v>6</v>
      </c>
      <c r="N192">
        <v>179.36605699998518</v>
      </c>
      <c r="O192">
        <f>DTDRpat_result0__3[[#This Row],[gap of angle (rad)2]]*10000</f>
        <v>1.0366862611815628</v>
      </c>
      <c r="P192">
        <v>1.0366862611815627E-4</v>
      </c>
    </row>
    <row r="193" spans="1:16" x14ac:dyDescent="0.3">
      <c r="A193" t="s">
        <v>6</v>
      </c>
      <c r="B193">
        <v>179.36605699998518</v>
      </c>
      <c r="C193">
        <f>DTDRpat_result0_1[[#This Row],[gap of angle (rad)2]]*10000</f>
        <v>0.76551133126074333</v>
      </c>
      <c r="D193">
        <v>7.6551133126074339E-5</v>
      </c>
      <c r="E193">
        <v>675.49952469507627</v>
      </c>
      <c r="G193" t="s">
        <v>6</v>
      </c>
      <c r="H193">
        <v>179.36605699998518</v>
      </c>
      <c r="I193">
        <f>DTDRpat_result0__2[[#This Row],[gap of angle (rad)2]]*10000</f>
        <v>0.84216515857334062</v>
      </c>
      <c r="J193">
        <v>8.4216515857334057E-5</v>
      </c>
      <c r="K193" t="s">
        <v>8</v>
      </c>
      <c r="M193" t="s">
        <v>6</v>
      </c>
      <c r="N193">
        <v>179.36605699998518</v>
      </c>
      <c r="O193">
        <f>DTDRpat_result0__3[[#This Row],[gap of angle (rad)2]]*10000</f>
        <v>1.0363238900162151</v>
      </c>
      <c r="P193">
        <v>1.0363238900162151E-4</v>
      </c>
    </row>
    <row r="194" spans="1:16" x14ac:dyDescent="0.3">
      <c r="A194" t="s">
        <v>6</v>
      </c>
      <c r="B194">
        <v>181.25748299998276</v>
      </c>
      <c r="C194">
        <f>DTDRpat_result0_1[[#This Row],[gap of angle (rad)2]]*10000</f>
        <v>0.76558337890031947</v>
      </c>
      <c r="D194">
        <v>7.6558337890031948E-5</v>
      </c>
      <c r="E194">
        <v>675.46741337301489</v>
      </c>
      <c r="G194" t="s">
        <v>6</v>
      </c>
      <c r="H194">
        <v>181.25748299998276</v>
      </c>
      <c r="I194">
        <f>DTDRpat_result0__2[[#This Row],[gap of angle (rad)2]]*10000</f>
        <v>0.84216985169430314</v>
      </c>
      <c r="J194">
        <v>8.4216985169430309E-5</v>
      </c>
      <c r="K194" t="s">
        <v>7</v>
      </c>
      <c r="M194" t="s">
        <v>6</v>
      </c>
      <c r="N194">
        <v>181.25748299998276</v>
      </c>
      <c r="O194">
        <f>DTDRpat_result0__3[[#This Row],[gap of angle (rad)2]]*10000</f>
        <v>1.0361856390915829</v>
      </c>
      <c r="P194">
        <v>1.036185639091583E-4</v>
      </c>
    </row>
    <row r="195" spans="1:16" x14ac:dyDescent="0.3">
      <c r="A195" t="s">
        <v>6</v>
      </c>
      <c r="B195">
        <v>181.25748299998276</v>
      </c>
      <c r="C195">
        <f>DTDRpat_result0_1[[#This Row],[gap of angle (rad)2]]*10000</f>
        <v>0.76585442496161282</v>
      </c>
      <c r="D195">
        <v>7.658544249616128E-5</v>
      </c>
      <c r="E195">
        <v>675.34757534568587</v>
      </c>
      <c r="G195" t="s">
        <v>6</v>
      </c>
      <c r="H195">
        <v>181.25748299998276</v>
      </c>
      <c r="I195">
        <f>DTDRpat_result0__2[[#This Row],[gap of angle (rad)2]]*10000</f>
        <v>0.84264548778411363</v>
      </c>
      <c r="J195">
        <v>8.4264548778411363E-5</v>
      </c>
      <c r="K195" t="s">
        <v>8</v>
      </c>
      <c r="M195" t="s">
        <v>6</v>
      </c>
      <c r="N195">
        <v>181.25748299998276</v>
      </c>
      <c r="O195">
        <f>DTDRpat_result0__3[[#This Row],[gap of angle (rad)2]]*10000</f>
        <v>1.0368990447280027</v>
      </c>
      <c r="P195">
        <v>1.0368990447280026E-4</v>
      </c>
    </row>
    <row r="196" spans="1:16" x14ac:dyDescent="0.3">
      <c r="A196" t="s">
        <v>6</v>
      </c>
      <c r="B196">
        <v>183.14890899998031</v>
      </c>
      <c r="C196">
        <f>DTDRpat_result0_1[[#This Row],[gap of angle (rad)2]]*10000</f>
        <v>0.76636828496399589</v>
      </c>
      <c r="D196">
        <v>7.6636828496399594E-5</v>
      </c>
      <c r="E196">
        <v>675.12078859206758</v>
      </c>
      <c r="G196" t="s">
        <v>6</v>
      </c>
      <c r="H196">
        <v>183.14890899998031</v>
      </c>
      <c r="I196">
        <f>DTDRpat_result0__2[[#This Row],[gap of angle (rad)2]]*10000</f>
        <v>0.84267908450207163</v>
      </c>
      <c r="J196">
        <v>8.4267908450207161E-5</v>
      </c>
      <c r="K196" t="s">
        <v>7</v>
      </c>
      <c r="M196" t="s">
        <v>6</v>
      </c>
      <c r="N196">
        <v>183.14890899998031</v>
      </c>
      <c r="O196">
        <f>DTDRpat_result0__3[[#This Row],[gap of angle (rad)2]]*10000</f>
        <v>1.0359141726325445</v>
      </c>
      <c r="P196">
        <v>1.0359141726325446E-4</v>
      </c>
    </row>
    <row r="197" spans="1:16" x14ac:dyDescent="0.3">
      <c r="A197" t="s">
        <v>6</v>
      </c>
      <c r="B197">
        <v>183.14890899998031</v>
      </c>
      <c r="C197">
        <f>DTDRpat_result0_1[[#This Row],[gap of angle (rad)2]]*10000</f>
        <v>0.76704867458645665</v>
      </c>
      <c r="D197">
        <v>7.6704867458645662E-5</v>
      </c>
      <c r="E197">
        <v>674.821011760327</v>
      </c>
      <c r="G197" t="s">
        <v>6</v>
      </c>
      <c r="H197">
        <v>183.14890899998031</v>
      </c>
      <c r="I197">
        <f>DTDRpat_result0__2[[#This Row],[gap of angle (rad)2]]*10000</f>
        <v>0.84387237491536238</v>
      </c>
      <c r="J197">
        <v>8.4387237491536233E-5</v>
      </c>
      <c r="K197" t="s">
        <v>8</v>
      </c>
      <c r="M197" t="s">
        <v>6</v>
      </c>
      <c r="N197">
        <v>183.14890899998031</v>
      </c>
      <c r="O197">
        <f>DTDRpat_result0__3[[#This Row],[gap of angle (rad)2]]*10000</f>
        <v>1.0377012671709154</v>
      </c>
      <c r="P197">
        <v>1.0377012671709154E-4</v>
      </c>
    </row>
    <row r="198" spans="1:16" x14ac:dyDescent="0.3">
      <c r="A198" t="s">
        <v>6</v>
      </c>
      <c r="B198">
        <v>185.0340719999779</v>
      </c>
      <c r="C198">
        <f>DTDRpat_result0_1[[#This Row],[gap of angle (rad)2]]*10000</f>
        <v>0.76799870686251703</v>
      </c>
      <c r="D198">
        <v>7.6799870686251702E-5</v>
      </c>
      <c r="E198">
        <v>674.40316246889688</v>
      </c>
      <c r="G198" t="s">
        <v>6</v>
      </c>
      <c r="H198">
        <v>185.0340719999779</v>
      </c>
      <c r="I198">
        <f>DTDRpat_result0__2[[#This Row],[gap of angle (rad)2]]*10000</f>
        <v>0.8439295239069361</v>
      </c>
      <c r="J198">
        <v>8.4392952390693613E-5</v>
      </c>
      <c r="K198" t="s">
        <v>7</v>
      </c>
      <c r="M198" t="s">
        <v>6</v>
      </c>
      <c r="N198">
        <v>185.0340719999779</v>
      </c>
      <c r="O198">
        <f>DTDRpat_result0__3[[#This Row],[gap of angle (rad)2]]*10000</f>
        <v>1.0358724921118234</v>
      </c>
      <c r="P198">
        <v>1.0358724921118234E-4</v>
      </c>
    </row>
    <row r="199" spans="1:16" x14ac:dyDescent="0.3">
      <c r="A199" t="s">
        <v>6</v>
      </c>
      <c r="B199">
        <v>185.0340719999779</v>
      </c>
      <c r="C199">
        <f>DTDRpat_result0_1[[#This Row],[gap of angle (rad)2]]*10000</f>
        <v>0.76908861380167759</v>
      </c>
      <c r="D199">
        <v>7.6908861380167758E-5</v>
      </c>
      <c r="E199">
        <v>673.92484704680726</v>
      </c>
      <c r="G199" t="s">
        <v>6</v>
      </c>
      <c r="H199">
        <v>185.0340719999779</v>
      </c>
      <c r="I199">
        <f>DTDRpat_result0__2[[#This Row],[gap of angle (rad)2]]*10000</f>
        <v>0.84583919804867225</v>
      </c>
      <c r="J199">
        <v>8.4583919804867227E-5</v>
      </c>
      <c r="K199" t="s">
        <v>8</v>
      </c>
      <c r="M199" t="s">
        <v>6</v>
      </c>
      <c r="N199">
        <v>185.0340719999779</v>
      </c>
      <c r="O199">
        <f>DTDRpat_result0__3[[#This Row],[gap of angle (rad)2]]*10000</f>
        <v>1.0387243130026353</v>
      </c>
      <c r="P199">
        <v>1.0387243130026354E-4</v>
      </c>
    </row>
    <row r="200" spans="1:16" x14ac:dyDescent="0.3">
      <c r="A200" t="s">
        <v>6</v>
      </c>
      <c r="B200">
        <v>186.92549799997545</v>
      </c>
      <c r="C200">
        <f>DTDRpat_result0_1[[#This Row],[gap of angle (rad)2]]*10000</f>
        <v>0.77048923409596359</v>
      </c>
      <c r="D200">
        <v>7.7048923409596358E-5</v>
      </c>
      <c r="E200">
        <v>673.31170572248902</v>
      </c>
      <c r="G200" t="s">
        <v>6</v>
      </c>
      <c r="H200">
        <v>186.92549799997545</v>
      </c>
      <c r="I200">
        <f>DTDRpat_result0__2[[#This Row],[gap of angle (rad)2]]*10000</f>
        <v>0.84593060047422042</v>
      </c>
      <c r="J200">
        <v>8.459306004742204E-5</v>
      </c>
      <c r="K200" t="s">
        <v>7</v>
      </c>
      <c r="M200" t="s">
        <v>6</v>
      </c>
      <c r="N200">
        <v>186.92549799997545</v>
      </c>
      <c r="O200">
        <f>DTDRpat_result0__3[[#This Row],[gap of angle (rad)2]]*10000</f>
        <v>1.0360604752407823</v>
      </c>
      <c r="P200">
        <v>1.0360604752407822E-4</v>
      </c>
    </row>
    <row r="201" spans="1:16" x14ac:dyDescent="0.3">
      <c r="A201" t="s">
        <v>6</v>
      </c>
      <c r="B201">
        <v>186.92549799997545</v>
      </c>
      <c r="C201">
        <f>DTDRpat_result0_1[[#This Row],[gap of angle (rad)2]]*10000</f>
        <v>0.77199246152213996</v>
      </c>
      <c r="D201">
        <v>7.7199246152213999E-5</v>
      </c>
      <c r="E201">
        <v>672.65555136167802</v>
      </c>
      <c r="G201" t="s">
        <v>6</v>
      </c>
      <c r="H201">
        <v>186.92549799997545</v>
      </c>
      <c r="I201">
        <f>DTDRpat_result0__2[[#This Row],[gap of angle (rad)2]]*10000</f>
        <v>0.84856077774115912</v>
      </c>
      <c r="J201">
        <v>8.4856077774115912E-5</v>
      </c>
      <c r="K201" t="s">
        <v>8</v>
      </c>
      <c r="M201" t="s">
        <v>6</v>
      </c>
      <c r="N201">
        <v>186.92549799997545</v>
      </c>
      <c r="O201">
        <f>DTDRpat_result0__3[[#This Row],[gap of angle (rad)2]]*10000</f>
        <v>1.0399718114211285</v>
      </c>
      <c r="P201">
        <v>1.0399718114211285E-4</v>
      </c>
    </row>
    <row r="202" spans="1:16" x14ac:dyDescent="0.3">
      <c r="A202" t="s">
        <v>6</v>
      </c>
      <c r="B202">
        <v>188.81066099997304</v>
      </c>
      <c r="C202">
        <f>DTDRpat_result0_1[[#This Row],[gap of angle (rad)2]]*10000</f>
        <v>0.77382893660567287</v>
      </c>
      <c r="D202">
        <v>7.7382893660567285E-5</v>
      </c>
      <c r="E202">
        <v>671.85658227312695</v>
      </c>
      <c r="G202" t="s">
        <v>6</v>
      </c>
      <c r="H202">
        <v>188.81066099997304</v>
      </c>
      <c r="I202">
        <f>DTDRpat_result0__2[[#This Row],[gap of angle (rad)2]]*10000</f>
        <v>0.84867094758964901</v>
      </c>
      <c r="J202">
        <v>8.4867094758964902E-5</v>
      </c>
      <c r="K202" t="s">
        <v>7</v>
      </c>
      <c r="M202" t="s">
        <v>6</v>
      </c>
      <c r="N202">
        <v>188.81066099997304</v>
      </c>
      <c r="O202">
        <f>DTDRpat_result0__3[[#This Row],[gap of angle (rad)2]]*10000</f>
        <v>1.0364762832182279</v>
      </c>
      <c r="P202">
        <v>1.0364762832182279E-4</v>
      </c>
    </row>
    <row r="203" spans="1:16" x14ac:dyDescent="0.3">
      <c r="A203" t="s">
        <v>6</v>
      </c>
      <c r="B203">
        <v>188.81066099997304</v>
      </c>
      <c r="C203">
        <f>DTDRpat_result0_1[[#This Row],[gap of angle (rad)2]]*10000</f>
        <v>0.77574752513656342</v>
      </c>
      <c r="D203">
        <v>7.7574752513656341E-5</v>
      </c>
      <c r="E203">
        <v>671.02495159257728</v>
      </c>
      <c r="G203" t="s">
        <v>6</v>
      </c>
      <c r="H203">
        <v>188.81066099997304</v>
      </c>
      <c r="I203">
        <f>DTDRpat_result0__2[[#This Row],[gap of angle (rad)2]]*10000</f>
        <v>0.85202162015557692</v>
      </c>
      <c r="J203">
        <v>8.5202162015557696E-5</v>
      </c>
      <c r="K203" t="s">
        <v>8</v>
      </c>
      <c r="M203" t="s">
        <v>6</v>
      </c>
      <c r="N203">
        <v>188.81066099997304</v>
      </c>
      <c r="O203">
        <f>DTDRpat_result0__3[[#This Row],[gap of angle (rad)2]]*10000</f>
        <v>1.0414317196868774</v>
      </c>
      <c r="P203">
        <v>1.0414317196868774E-4</v>
      </c>
    </row>
    <row r="204" spans="1:16" x14ac:dyDescent="0.3">
      <c r="A204" t="s">
        <v>6</v>
      </c>
      <c r="B204">
        <v>190.6958239999706</v>
      </c>
      <c r="C204">
        <f>DTDRpat_result0_1[[#This Row],[gap of angle (rad)2]]*10000</f>
        <v>0.77803212224472384</v>
      </c>
      <c r="D204">
        <v>7.7803212224472385E-5</v>
      </c>
      <c r="E204">
        <v>670.03872446348589</v>
      </c>
      <c r="G204" t="s">
        <v>6</v>
      </c>
      <c r="H204">
        <v>190.6958239999706</v>
      </c>
      <c r="I204">
        <f>DTDRpat_result0__2[[#This Row],[gap of angle (rad)2]]*10000</f>
        <v>0.85215833776168848</v>
      </c>
      <c r="J204">
        <v>8.5215833776168851E-5</v>
      </c>
      <c r="K204" t="s">
        <v>7</v>
      </c>
      <c r="M204" t="s">
        <v>6</v>
      </c>
      <c r="N204">
        <v>190.6958239999706</v>
      </c>
      <c r="O204">
        <f>DTDRpat_result0__3[[#This Row],[gap of angle (rad)2]]*10000</f>
        <v>1.0371189033854005</v>
      </c>
      <c r="P204">
        <v>1.0371189033854005E-4</v>
      </c>
    </row>
    <row r="205" spans="1:16" x14ac:dyDescent="0.3">
      <c r="A205" t="s">
        <v>6</v>
      </c>
      <c r="B205">
        <v>190.6958239999706</v>
      </c>
      <c r="C205">
        <f>DTDRpat_result0_1[[#This Row],[gap of angle (rad)2]]*10000</f>
        <v>0.78037029788973733</v>
      </c>
      <c r="D205">
        <v>7.8037029788973736E-5</v>
      </c>
      <c r="E205">
        <v>669.03387492078321</v>
      </c>
      <c r="G205" t="s">
        <v>6</v>
      </c>
      <c r="H205">
        <v>190.6958239999706</v>
      </c>
      <c r="I205">
        <f>DTDRpat_result0__2[[#This Row],[gap of angle (rad)2]]*10000</f>
        <v>0.85623231447877635</v>
      </c>
      <c r="J205">
        <v>8.5623231447877631E-5</v>
      </c>
      <c r="K205" t="s">
        <v>8</v>
      </c>
      <c r="M205" t="s">
        <v>6</v>
      </c>
      <c r="N205">
        <v>190.6958239999706</v>
      </c>
      <c r="O205">
        <f>DTDRpat_result0__3[[#This Row],[gap of angle (rad)2]]*10000</f>
        <v>1.0431031885191977</v>
      </c>
      <c r="P205">
        <v>1.0431031885191977E-4</v>
      </c>
    </row>
    <row r="206" spans="1:16" x14ac:dyDescent="0.3">
      <c r="A206" t="s">
        <v>6</v>
      </c>
      <c r="B206">
        <v>192.5747239999682</v>
      </c>
      <c r="C206">
        <f>DTDRpat_result0_1[[#This Row],[gap of angle (rad)2]]*10000</f>
        <v>0.78308970732828032</v>
      </c>
      <c r="D206">
        <v>7.8308970732828033E-5</v>
      </c>
      <c r="E206">
        <v>667.87088975160316</v>
      </c>
      <c r="G206" t="s">
        <v>6</v>
      </c>
      <c r="H206">
        <v>192.5747239999682</v>
      </c>
      <c r="I206">
        <f>DTDRpat_result0__2[[#This Row],[gap of angle (rad)2]]*10000</f>
        <v>0.8563804036208077</v>
      </c>
      <c r="J206">
        <v>8.5638040362080766E-5</v>
      </c>
      <c r="K206" t="s">
        <v>7</v>
      </c>
      <c r="M206" t="s">
        <v>6</v>
      </c>
      <c r="N206">
        <v>192.5747239999682</v>
      </c>
      <c r="O206">
        <f>DTDRpat_result0__3[[#This Row],[gap of angle (rad)2]]*10000</f>
        <v>1.0379831547899088</v>
      </c>
      <c r="P206">
        <v>1.0379831547899088E-4</v>
      </c>
    </row>
    <row r="207" spans="1:16" x14ac:dyDescent="0.3">
      <c r="A207" t="s">
        <v>6</v>
      </c>
      <c r="B207">
        <v>192.5747239999682</v>
      </c>
      <c r="C207">
        <f>DTDRpat_result0_1[[#This Row],[gap of angle (rad)2]]*10000</f>
        <v>0.78585120275855957</v>
      </c>
      <c r="D207">
        <v>7.858512027585596E-5</v>
      </c>
      <c r="E207">
        <v>666.69612900680875</v>
      </c>
      <c r="G207" t="s">
        <v>6</v>
      </c>
      <c r="H207">
        <v>192.5747239999682</v>
      </c>
      <c r="I207">
        <f>DTDRpat_result0__2[[#This Row],[gap of angle (rad)2]]*10000</f>
        <v>0.86117850983198385</v>
      </c>
      <c r="J207">
        <v>8.611785098319838E-5</v>
      </c>
      <c r="K207" t="s">
        <v>8</v>
      </c>
      <c r="M207" t="s">
        <v>6</v>
      </c>
      <c r="N207">
        <v>192.5747239999682</v>
      </c>
      <c r="O207">
        <f>DTDRpat_result0__3[[#This Row],[gap of angle (rad)2]]*10000</f>
        <v>1.0449744402706131</v>
      </c>
      <c r="P207">
        <v>1.0449744402706131E-4</v>
      </c>
    </row>
    <row r="208" spans="1:16" x14ac:dyDescent="0.3">
      <c r="A208" t="s">
        <v>6</v>
      </c>
      <c r="B208">
        <v>194.45988699996576</v>
      </c>
      <c r="C208">
        <f>DTDRpat_result0_1[[#This Row],[gap of angle (rad)2]]*10000</f>
        <v>0.78904642788290369</v>
      </c>
      <c r="D208">
        <v>7.890464278829037E-5</v>
      </c>
      <c r="E208">
        <v>665.34456669173096</v>
      </c>
      <c r="G208" t="s">
        <v>6</v>
      </c>
      <c r="H208">
        <v>194.45988699996576</v>
      </c>
      <c r="I208">
        <f>DTDRpat_result0__2[[#This Row],[gap of angle (rad)2]]*10000</f>
        <v>0.86136873464291075</v>
      </c>
      <c r="J208">
        <v>8.6136873464291079E-5</v>
      </c>
      <c r="K208" t="s">
        <v>7</v>
      </c>
      <c r="M208" t="s">
        <v>6</v>
      </c>
      <c r="N208">
        <v>194.45988699996576</v>
      </c>
      <c r="O208">
        <f>DTDRpat_result0__3[[#This Row],[gap of angle (rad)2]]*10000</f>
        <v>1.0390721385949135</v>
      </c>
      <c r="P208">
        <v>1.0390721385949135E-4</v>
      </c>
    </row>
    <row r="209" spans="1:16" x14ac:dyDescent="0.3">
      <c r="A209" t="s">
        <v>6</v>
      </c>
      <c r="B209">
        <v>194.45988699996576</v>
      </c>
      <c r="C209">
        <f>DTDRpat_result0_1[[#This Row],[gap of angle (rad)2]]*10000</f>
        <v>0.79223844965687218</v>
      </c>
      <c r="D209">
        <v>7.9223844965687219E-5</v>
      </c>
      <c r="E209">
        <v>664.00256064284599</v>
      </c>
      <c r="G209" t="s">
        <v>6</v>
      </c>
      <c r="H209">
        <v>194.45988699996576</v>
      </c>
      <c r="I209">
        <f>DTDRpat_result0__2[[#This Row],[gap of angle (rad)2]]*10000</f>
        <v>0.86689692391994055</v>
      </c>
      <c r="J209">
        <v>8.668969239199405E-5</v>
      </c>
      <c r="K209" t="s">
        <v>8</v>
      </c>
      <c r="M209" t="s">
        <v>6</v>
      </c>
      <c r="N209">
        <v>194.45988699996576</v>
      </c>
      <c r="O209">
        <f>DTDRpat_result0__3[[#This Row],[gap of angle (rad)2]]*10000</f>
        <v>1.0470519746004439</v>
      </c>
      <c r="P209">
        <v>1.0470519746004438E-4</v>
      </c>
    </row>
    <row r="210" spans="1:16" x14ac:dyDescent="0.3">
      <c r="A210" t="s">
        <v>6</v>
      </c>
      <c r="B210">
        <v>196.33878699996336</v>
      </c>
      <c r="C210">
        <f>DTDRpat_result0_1[[#This Row],[gap of angle (rad)2]]*10000</f>
        <v>0.79587510685019847</v>
      </c>
      <c r="D210">
        <v>7.9587510685019848E-5</v>
      </c>
      <c r="E210">
        <v>662.48346994755218</v>
      </c>
      <c r="G210" t="s">
        <v>6</v>
      </c>
      <c r="H210">
        <v>196.33878699996336</v>
      </c>
      <c r="I210">
        <f>DTDRpat_result0__2[[#This Row],[gap of angle (rad)2]]*10000</f>
        <v>0.86709374306360465</v>
      </c>
      <c r="J210">
        <v>8.6709374306360469E-5</v>
      </c>
      <c r="K210" t="s">
        <v>7</v>
      </c>
      <c r="M210" t="s">
        <v>6</v>
      </c>
      <c r="N210">
        <v>196.33878699996336</v>
      </c>
      <c r="O210">
        <f>DTDRpat_result0__3[[#This Row],[gap of angle (rad)2]]*10000</f>
        <v>1.0403753314960118</v>
      </c>
      <c r="P210">
        <v>1.0403753314960119E-4</v>
      </c>
    </row>
    <row r="211" spans="1:16" x14ac:dyDescent="0.3">
      <c r="A211" t="s">
        <v>6</v>
      </c>
      <c r="B211">
        <v>196.33878699996336</v>
      </c>
      <c r="C211">
        <f>DTDRpat_result0_1[[#This Row],[gap of angle (rad)2]]*10000</f>
        <v>0.79950280420296382</v>
      </c>
      <c r="D211">
        <v>7.9950280420296377E-5</v>
      </c>
      <c r="E211">
        <v>660.97848851028016</v>
      </c>
      <c r="G211" t="s">
        <v>6</v>
      </c>
      <c r="H211">
        <v>196.33878699996336</v>
      </c>
      <c r="I211">
        <f>DTDRpat_result0__2[[#This Row],[gap of angle (rad)2]]*10000</f>
        <v>0.87335330776196518</v>
      </c>
      <c r="J211">
        <v>8.7335330776196516E-5</v>
      </c>
      <c r="K211" t="s">
        <v>8</v>
      </c>
      <c r="M211" t="s">
        <v>6</v>
      </c>
      <c r="N211">
        <v>196.33878699996336</v>
      </c>
      <c r="O211">
        <f>DTDRpat_result0__3[[#This Row],[gap of angle (rad)2]]*10000</f>
        <v>1.0493153206127501</v>
      </c>
      <c r="P211">
        <v>1.04931532061275E-4</v>
      </c>
    </row>
    <row r="212" spans="1:16" x14ac:dyDescent="0.3">
      <c r="A212" t="s">
        <v>6</v>
      </c>
      <c r="B212">
        <v>198.23021299996091</v>
      </c>
      <c r="C212">
        <f>DTDRpat_result0_1[[#This Row],[gap of angle (rad)2]]*10000</f>
        <v>0.80366268447508793</v>
      </c>
      <c r="D212">
        <v>8.0366268447508793E-5</v>
      </c>
      <c r="E212">
        <v>659.26530576375842</v>
      </c>
      <c r="G212" t="s">
        <v>6</v>
      </c>
      <c r="H212">
        <v>198.23021299996091</v>
      </c>
      <c r="I212">
        <f>DTDRpat_result0__2[[#This Row],[gap of angle (rad)2]]*10000</f>
        <v>0.87362038810211384</v>
      </c>
      <c r="J212">
        <v>8.7362038810211387E-5</v>
      </c>
      <c r="K212" t="s">
        <v>7</v>
      </c>
      <c r="M212" t="s">
        <v>6</v>
      </c>
      <c r="N212">
        <v>198.23021299996091</v>
      </c>
      <c r="O212">
        <f>DTDRpat_result0__3[[#This Row],[gap of angle (rad)2]]*10000</f>
        <v>1.0419028305626352</v>
      </c>
      <c r="P212">
        <v>1.0419028305626353E-4</v>
      </c>
    </row>
    <row r="213" spans="1:16" x14ac:dyDescent="0.3">
      <c r="A213" t="s">
        <v>6</v>
      </c>
      <c r="B213">
        <v>198.23021299996091</v>
      </c>
      <c r="C213">
        <f>DTDRpat_result0_1[[#This Row],[gap of angle (rad)2]]*10000</f>
        <v>0.80773628373244621</v>
      </c>
      <c r="D213">
        <v>8.0773628373244626E-5</v>
      </c>
      <c r="E213">
        <v>657.60051021548088</v>
      </c>
      <c r="G213" t="s">
        <v>6</v>
      </c>
      <c r="H213">
        <v>198.23021299996091</v>
      </c>
      <c r="I213">
        <f>DTDRpat_result0__2[[#This Row],[gap of angle (rad)2]]*10000</f>
        <v>0.88061992331291394</v>
      </c>
      <c r="J213">
        <v>8.8061992331291394E-5</v>
      </c>
      <c r="K213" t="s">
        <v>8</v>
      </c>
      <c r="M213" t="s">
        <v>6</v>
      </c>
      <c r="N213">
        <v>198.23021299996091</v>
      </c>
      <c r="O213">
        <f>DTDRpat_result0__3[[#This Row],[gap of angle (rad)2]]*10000</f>
        <v>1.0517806851469369</v>
      </c>
      <c r="P213">
        <v>1.0517806851469369E-4</v>
      </c>
    </row>
    <row r="214" spans="1:16" x14ac:dyDescent="0.3">
      <c r="A214" t="s">
        <v>6</v>
      </c>
      <c r="B214">
        <v>200.1153759999585</v>
      </c>
      <c r="C214">
        <f>DTDRpat_result0_1[[#This Row],[gap of angle (rad)2]]*10000</f>
        <v>0.81235179188121132</v>
      </c>
      <c r="D214">
        <v>8.1235179188121132E-5</v>
      </c>
      <c r="E214">
        <v>655.72942946055048</v>
      </c>
      <c r="G214" t="s">
        <v>6</v>
      </c>
      <c r="H214">
        <v>200.1153759999585</v>
      </c>
      <c r="I214">
        <f>DTDRpat_result0__2[[#This Row],[gap of angle (rad)2]]*10000</f>
        <v>0.88089139205547196</v>
      </c>
      <c r="J214">
        <v>8.8089139205547198E-5</v>
      </c>
      <c r="K214" t="s">
        <v>7</v>
      </c>
      <c r="M214" t="s">
        <v>6</v>
      </c>
      <c r="N214">
        <v>200.1153759999585</v>
      </c>
      <c r="O214">
        <f>DTDRpat_result0__3[[#This Row],[gap of angle (rad)2]]*10000</f>
        <v>1.0436357259768378</v>
      </c>
      <c r="P214">
        <v>1.0436357259768379E-4</v>
      </c>
    </row>
    <row r="215" spans="1:16" x14ac:dyDescent="0.3">
      <c r="A215" t="s">
        <v>6</v>
      </c>
      <c r="B215">
        <v>200.1153759999585</v>
      </c>
      <c r="C215">
        <f>DTDRpat_result0_1[[#This Row],[gap of angle (rad)2]]*10000</f>
        <v>0.81687774265941682</v>
      </c>
      <c r="D215">
        <v>8.1687774265941677E-5</v>
      </c>
      <c r="E215">
        <v>653.91009648220904</v>
      </c>
      <c r="G215" t="s">
        <v>6</v>
      </c>
      <c r="H215">
        <v>200.1153759999585</v>
      </c>
      <c r="I215">
        <f>DTDRpat_result0__2[[#This Row],[gap of angle (rad)2]]*10000</f>
        <v>0.88863198183331538</v>
      </c>
      <c r="J215">
        <v>8.8863198183331541E-5</v>
      </c>
      <c r="K215" t="s">
        <v>8</v>
      </c>
      <c r="M215" t="s">
        <v>6</v>
      </c>
      <c r="N215">
        <v>200.1153759999585</v>
      </c>
      <c r="O215">
        <f>DTDRpat_result0__3[[#This Row],[gap of angle (rad)2]]*10000</f>
        <v>1.05441628523894</v>
      </c>
      <c r="P215">
        <v>1.05441628523894E-4</v>
      </c>
    </row>
    <row r="216" spans="1:16" x14ac:dyDescent="0.3">
      <c r="A216" t="s">
        <v>6</v>
      </c>
      <c r="B216">
        <v>202.00680199995605</v>
      </c>
      <c r="C216">
        <f>DTDRpat_result0_1[[#This Row],[gap of angle (rad)2]]*10000</f>
        <v>0.82201686807113905</v>
      </c>
      <c r="D216">
        <v>8.2201686807113902E-5</v>
      </c>
      <c r="E216">
        <v>651.86252316731554</v>
      </c>
      <c r="G216" t="s">
        <v>6</v>
      </c>
      <c r="H216">
        <v>202.00680199995605</v>
      </c>
      <c r="I216">
        <f>DTDRpat_result0__2[[#This Row],[gap of angle (rad)2]]*10000</f>
        <v>0.88895881729501802</v>
      </c>
      <c r="J216">
        <v>8.8895881729501798E-5</v>
      </c>
      <c r="K216" t="s">
        <v>7</v>
      </c>
      <c r="M216" t="s">
        <v>6</v>
      </c>
      <c r="N216">
        <v>202.00680199995605</v>
      </c>
      <c r="O216">
        <f>DTDRpat_result0__3[[#This Row],[gap of angle (rad)2]]*10000</f>
        <v>1.0455800682675951</v>
      </c>
      <c r="P216">
        <v>1.0455800682675952E-4</v>
      </c>
    </row>
    <row r="217" spans="1:16" x14ac:dyDescent="0.3">
      <c r="A217" t="s">
        <v>6</v>
      </c>
      <c r="B217">
        <v>202.00680199995605</v>
      </c>
      <c r="C217">
        <f>DTDRpat_result0_1[[#This Row],[gap of angle (rad)2]]*10000</f>
        <v>0.82700498218903673</v>
      </c>
      <c r="D217">
        <v>8.2700498218903678E-5</v>
      </c>
      <c r="E217">
        <v>649.89341775523383</v>
      </c>
      <c r="G217" t="s">
        <v>6</v>
      </c>
      <c r="H217">
        <v>202.00680199995605</v>
      </c>
      <c r="I217">
        <f>DTDRpat_result0__2[[#This Row],[gap of angle (rad)2]]*10000</f>
        <v>0.897445959902057</v>
      </c>
      <c r="J217">
        <v>8.9744595990205701E-5</v>
      </c>
      <c r="K217" t="s">
        <v>8</v>
      </c>
      <c r="M217" t="s">
        <v>6</v>
      </c>
      <c r="N217">
        <v>202.00680199995605</v>
      </c>
      <c r="O217">
        <f>DTDRpat_result0__3[[#This Row],[gap of angle (rad)2]]*10000</f>
        <v>1.0572306769265096</v>
      </c>
      <c r="P217">
        <v>1.0572306769265095E-4</v>
      </c>
    </row>
    <row r="218" spans="1:16" x14ac:dyDescent="0.3">
      <c r="A218" t="s">
        <v>6</v>
      </c>
      <c r="B218">
        <v>203.89822799995363</v>
      </c>
      <c r="C218">
        <f>DTDRpat_result0_1[[#This Row],[gap of angle (rad)2]]*10000</f>
        <v>0.83264823425740586</v>
      </c>
      <c r="D218">
        <v>8.3264823425740591E-5</v>
      </c>
      <c r="E218">
        <v>647.68707357089374</v>
      </c>
      <c r="G218" t="s">
        <v>6</v>
      </c>
      <c r="H218">
        <v>203.89822799995363</v>
      </c>
      <c r="I218">
        <f>DTDRpat_result0__2[[#This Row],[gap of angle (rad)2]]*10000</f>
        <v>0.89780291360364761</v>
      </c>
      <c r="J218">
        <v>8.978029136036476E-5</v>
      </c>
      <c r="K218" t="s">
        <v>7</v>
      </c>
      <c r="M218" t="s">
        <v>6</v>
      </c>
      <c r="N218">
        <v>203.89822799995363</v>
      </c>
      <c r="O218">
        <f>DTDRpat_result0__3[[#This Row],[gap of angle (rad)2]]*10000</f>
        <v>1.0477241579609273</v>
      </c>
      <c r="P218">
        <v>1.0477241579609274E-4</v>
      </c>
    </row>
    <row r="219" spans="1:16" x14ac:dyDescent="0.3">
      <c r="A219" t="s">
        <v>6</v>
      </c>
      <c r="B219">
        <v>203.89822799995363</v>
      </c>
      <c r="C219">
        <f>DTDRpat_result0_1[[#This Row],[gap of angle (rad)2]]*10000</f>
        <v>0.83810730388648103</v>
      </c>
      <c r="D219">
        <v>8.3810730388648107E-5</v>
      </c>
      <c r="E219">
        <v>645.57400491755402</v>
      </c>
      <c r="G219" t="s">
        <v>6</v>
      </c>
      <c r="H219">
        <v>203.89822799995363</v>
      </c>
      <c r="I219">
        <f>DTDRpat_result0__2[[#This Row],[gap of angle (rad)2]]*10000</f>
        <v>0.90703898215082435</v>
      </c>
      <c r="J219">
        <v>9.0703898215082433E-5</v>
      </c>
      <c r="K219" t="s">
        <v>8</v>
      </c>
      <c r="M219" t="s">
        <v>6</v>
      </c>
      <c r="N219">
        <v>203.89822799995363</v>
      </c>
      <c r="O219">
        <f>DTDRpat_result0__3[[#This Row],[gap of angle (rad)2]]*10000</f>
        <v>1.0602056502726886</v>
      </c>
      <c r="P219">
        <v>1.0602056502726887E-4</v>
      </c>
    </row>
    <row r="220" spans="1:16" x14ac:dyDescent="0.3">
      <c r="A220" t="s">
        <v>6</v>
      </c>
      <c r="B220">
        <v>205.78339099995119</v>
      </c>
      <c r="C220">
        <f>DTDRpat_result0_1[[#This Row],[gap of angle (rad)2]]*10000</f>
        <v>0.84422410082842847</v>
      </c>
      <c r="D220">
        <v>8.4422410082842845E-5</v>
      </c>
      <c r="E220">
        <v>643.23073295926542</v>
      </c>
      <c r="G220" t="s">
        <v>6</v>
      </c>
      <c r="H220">
        <v>205.78339099995119</v>
      </c>
      <c r="I220">
        <f>DTDRpat_result0__2[[#This Row],[gap of angle (rad)2]]*10000</f>
        <v>0.90739296964782057</v>
      </c>
      <c r="J220">
        <v>9.0739296964782056E-5</v>
      </c>
      <c r="K220" t="s">
        <v>7</v>
      </c>
      <c r="M220" t="s">
        <v>6</v>
      </c>
      <c r="N220">
        <v>205.78339099995119</v>
      </c>
      <c r="O220">
        <f>DTDRpat_result0__3[[#This Row],[gap of angle (rad)2]]*10000</f>
        <v>1.0500529949352708</v>
      </c>
      <c r="P220">
        <v>1.0500529949352708E-4</v>
      </c>
    </row>
    <row r="221" spans="1:16" x14ac:dyDescent="0.3">
      <c r="A221" t="s">
        <v>6</v>
      </c>
      <c r="B221">
        <v>205.78339099995119</v>
      </c>
      <c r="C221">
        <f>DTDRpat_result0_1[[#This Row],[gap of angle (rad)2]]*10000</f>
        <v>0.85016136816237287</v>
      </c>
      <c r="D221">
        <v>8.5016136816237282E-5</v>
      </c>
      <c r="E221">
        <v>640.98048392202566</v>
      </c>
      <c r="G221" t="s">
        <v>6</v>
      </c>
      <c r="H221">
        <v>205.78339099995119</v>
      </c>
      <c r="I221">
        <f>DTDRpat_result0__2[[#This Row],[gap of angle (rad)2]]*10000</f>
        <v>0.91737669813114908</v>
      </c>
      <c r="J221">
        <v>9.1737669813114905E-5</v>
      </c>
      <c r="K221" t="s">
        <v>8</v>
      </c>
      <c r="M221" t="s">
        <v>6</v>
      </c>
      <c r="N221">
        <v>205.78339099995119</v>
      </c>
      <c r="O221">
        <f>DTDRpat_result0__3[[#This Row],[gap of angle (rad)2]]*10000</f>
        <v>1.0633201135355119</v>
      </c>
      <c r="P221">
        <v>1.0633201135355119E-4</v>
      </c>
    </row>
    <row r="222" spans="1:16" x14ac:dyDescent="0.3">
      <c r="A222" t="s">
        <v>6</v>
      </c>
      <c r="B222">
        <v>207.66855399994878</v>
      </c>
      <c r="C222">
        <f>DTDRpat_result0_1[[#This Row],[gap of angle (rad)2]]*10000</f>
        <v>0.85679641238455051</v>
      </c>
      <c r="D222">
        <v>8.5679641238455053E-5</v>
      </c>
      <c r="E222">
        <v>638.49351824727705</v>
      </c>
      <c r="G222" t="s">
        <v>6</v>
      </c>
      <c r="H222">
        <v>207.66855399994878</v>
      </c>
      <c r="I222">
        <f>DTDRpat_result0__2[[#This Row],[gap of angle (rad)2]]*10000</f>
        <v>0.91775826007539851</v>
      </c>
      <c r="J222">
        <v>9.1775826007539855E-5</v>
      </c>
      <c r="K222" t="s">
        <v>7</v>
      </c>
      <c r="M222" t="s">
        <v>6</v>
      </c>
      <c r="N222">
        <v>207.66855399994878</v>
      </c>
      <c r="O222">
        <f>DTDRpat_result0__3[[#This Row],[gap of angle (rad)2]]*10000</f>
        <v>1.0525657009890019</v>
      </c>
      <c r="P222">
        <v>1.0525657009890019E-4</v>
      </c>
    </row>
    <row r="223" spans="1:16" x14ac:dyDescent="0.3">
      <c r="A223" t="s">
        <v>6</v>
      </c>
      <c r="B223">
        <v>207.66855399994878</v>
      </c>
      <c r="C223">
        <f>DTDRpat_result0_1[[#This Row],[gap of angle (rad)2]]*10000</f>
        <v>0.8632207442102573</v>
      </c>
      <c r="D223">
        <v>8.632207442102573E-5</v>
      </c>
      <c r="E223">
        <v>636.1129154389854</v>
      </c>
      <c r="G223" t="s">
        <v>6</v>
      </c>
      <c r="H223">
        <v>207.66855399994878</v>
      </c>
      <c r="I223">
        <f>DTDRpat_result0__2[[#This Row],[gap of angle (rad)2]]*10000</f>
        <v>0.92848969225888578</v>
      </c>
      <c r="J223">
        <v>9.2848969225888583E-5</v>
      </c>
      <c r="K223" t="s">
        <v>8</v>
      </c>
      <c r="M223" t="s">
        <v>6</v>
      </c>
      <c r="N223">
        <v>207.66855399994878</v>
      </c>
      <c r="O223">
        <f>DTDRpat_result0__3[[#This Row],[gap of angle (rad)2]]*10000</f>
        <v>1.0665725845248886</v>
      </c>
      <c r="P223">
        <v>1.0665725845248887E-4</v>
      </c>
    </row>
    <row r="224" spans="1:16" x14ac:dyDescent="0.3">
      <c r="A224" t="s">
        <v>6</v>
      </c>
      <c r="B224">
        <v>209.55371699994635</v>
      </c>
      <c r="C224">
        <f>DTDRpat_result0_1[[#This Row],[gap of angle (rad)2]]*10000</f>
        <v>0.87038339474712989</v>
      </c>
      <c r="D224">
        <v>8.7038339474712991E-5</v>
      </c>
      <c r="E224">
        <v>633.48987304041043</v>
      </c>
      <c r="G224" t="s">
        <v>6</v>
      </c>
      <c r="H224">
        <v>209.55371699994635</v>
      </c>
      <c r="I224">
        <f>DTDRpat_result0__2[[#This Row],[gap of angle (rad)2]]*10000</f>
        <v>0.92889878096063094</v>
      </c>
      <c r="J224">
        <v>9.288987809606309E-5</v>
      </c>
      <c r="K224" t="s">
        <v>7</v>
      </c>
      <c r="M224" t="s">
        <v>6</v>
      </c>
      <c r="N224">
        <v>209.55371699994635</v>
      </c>
      <c r="O224">
        <f>DTDRpat_result0__3[[#This Row],[gap of angle (rad)2]]*10000</f>
        <v>1.0552538505674522</v>
      </c>
      <c r="P224">
        <v>1.0552538505674523E-4</v>
      </c>
    </row>
    <row r="225" spans="1:16" x14ac:dyDescent="0.3">
      <c r="A225" t="s">
        <v>6</v>
      </c>
      <c r="B225">
        <v>209.55371699994635</v>
      </c>
      <c r="C225">
        <f>DTDRpat_result0_1[[#This Row],[gap of angle (rad)2]]*10000</f>
        <v>0.8773033567288443</v>
      </c>
      <c r="D225">
        <v>8.7730335672884429E-5</v>
      </c>
      <c r="E225">
        <v>630.98628007992727</v>
      </c>
      <c r="G225" t="s">
        <v>6</v>
      </c>
      <c r="H225">
        <v>209.55371699994635</v>
      </c>
      <c r="I225">
        <f>DTDRpat_result0__2[[#This Row],[gap of angle (rad)2]]*10000</f>
        <v>0.94037600365811236</v>
      </c>
      <c r="J225">
        <v>9.4037600365811232E-5</v>
      </c>
      <c r="K225" t="s">
        <v>8</v>
      </c>
      <c r="M225" t="s">
        <v>6</v>
      </c>
      <c r="N225">
        <v>209.55371699994635</v>
      </c>
      <c r="O225">
        <f>DTDRpat_result0__3[[#This Row],[gap of angle (rad)2]]*10000</f>
        <v>1.0699511689469186</v>
      </c>
      <c r="P225">
        <v>1.0699511689469186E-4</v>
      </c>
    </row>
    <row r="226" spans="1:16" x14ac:dyDescent="0.3">
      <c r="A226" t="s">
        <v>6</v>
      </c>
      <c r="B226">
        <v>211.43887999994394</v>
      </c>
      <c r="C226">
        <f>DTDRpat_result0_1[[#This Row],[gap of angle (rad)2]]*10000</f>
        <v>0.88500260734615299</v>
      </c>
      <c r="D226">
        <v>8.8500260734615305E-5</v>
      </c>
      <c r="E226">
        <v>628.23535809717737</v>
      </c>
      <c r="G226" t="s">
        <v>6</v>
      </c>
      <c r="H226">
        <v>211.43887999994394</v>
      </c>
      <c r="I226">
        <f>DTDRpat_result0__2[[#This Row],[gap of angle (rad)2]]*10000</f>
        <v>0.94081251778191521</v>
      </c>
      <c r="J226">
        <v>9.4081251778191526E-5</v>
      </c>
      <c r="K226" t="s">
        <v>7</v>
      </c>
      <c r="M226" t="s">
        <v>6</v>
      </c>
      <c r="N226">
        <v>211.43887999994394</v>
      </c>
      <c r="O226">
        <f>DTDRpat_result0__3[[#This Row],[gap of angle (rad)2]]*10000</f>
        <v>1.058108331591896</v>
      </c>
      <c r="P226">
        <v>1.0581083315918959E-4</v>
      </c>
    </row>
    <row r="227" spans="1:16" x14ac:dyDescent="0.3">
      <c r="A227" t="s">
        <v>6</v>
      </c>
      <c r="B227">
        <v>211.43887999994394</v>
      </c>
      <c r="C227">
        <f>DTDRpat_result0_1[[#This Row],[gap of angle (rad)2]]*10000</f>
        <v>0.89242626467344033</v>
      </c>
      <c r="D227">
        <v>8.9242626467344035E-5</v>
      </c>
      <c r="E227">
        <v>625.61668223123388</v>
      </c>
      <c r="G227" t="s">
        <v>6</v>
      </c>
      <c r="H227">
        <v>211.43887999994394</v>
      </c>
      <c r="I227">
        <f>DTDRpat_result0__2[[#This Row],[gap of angle (rad)2]]*10000</f>
        <v>0.95303149918859609</v>
      </c>
      <c r="J227">
        <v>9.5303149918859613E-5</v>
      </c>
      <c r="K227" t="s">
        <v>8</v>
      </c>
      <c r="M227" t="s">
        <v>6</v>
      </c>
      <c r="N227">
        <v>211.43887999994394</v>
      </c>
      <c r="O227">
        <f>DTDRpat_result0__3[[#This Row],[gap of angle (rad)2]]*10000</f>
        <v>1.0734433922639195</v>
      </c>
      <c r="P227">
        <v>1.0734433922639194E-4</v>
      </c>
    </row>
    <row r="228" spans="1:16" x14ac:dyDescent="0.3">
      <c r="A228" t="s">
        <v>6</v>
      </c>
      <c r="B228">
        <v>213.3240429999415</v>
      </c>
      <c r="C228">
        <f>DTDRpat_result0_1[[#This Row],[gap of angle (rad)2]]*10000</f>
        <v>0.90067032560591909</v>
      </c>
      <c r="D228">
        <v>9.0067032560591908E-5</v>
      </c>
      <c r="E228">
        <v>622.74666494983899</v>
      </c>
      <c r="G228" t="s">
        <v>6</v>
      </c>
      <c r="H228">
        <v>213.3240429999415</v>
      </c>
      <c r="I228">
        <f>DTDRpat_result0__2[[#This Row],[gap of angle (rad)2]]*10000</f>
        <v>0.95349522990439339</v>
      </c>
      <c r="J228">
        <v>9.5349522990439338E-5</v>
      </c>
      <c r="K228" t="s">
        <v>7</v>
      </c>
      <c r="M228" t="s">
        <v>6</v>
      </c>
      <c r="N228">
        <v>213.3240429999415</v>
      </c>
      <c r="O228">
        <f>DTDRpat_result0__3[[#This Row],[gap of angle (rad)2]]*10000</f>
        <v>1.0611193060239634</v>
      </c>
      <c r="P228">
        <v>1.0611193060239635E-4</v>
      </c>
    </row>
    <row r="229" spans="1:16" x14ac:dyDescent="0.3">
      <c r="A229" t="s">
        <v>6</v>
      </c>
      <c r="B229">
        <v>213.3240429999415</v>
      </c>
      <c r="C229">
        <f>DTDRpat_result0_1[[#This Row],[gap of angle (rad)2]]*10000</f>
        <v>0.90860487489088992</v>
      </c>
      <c r="D229">
        <v>9.0860487489088994E-5</v>
      </c>
      <c r="E229">
        <v>620.02136340988784</v>
      </c>
      <c r="G229" t="s">
        <v>6</v>
      </c>
      <c r="H229">
        <v>213.3240429999415</v>
      </c>
      <c r="I229">
        <f>DTDRpat_result0__2[[#This Row],[gap of angle (rad)2]]*10000</f>
        <v>0.96644918987982953</v>
      </c>
      <c r="J229">
        <v>9.6644918987982953E-5</v>
      </c>
      <c r="K229" t="s">
        <v>8</v>
      </c>
      <c r="M229" t="s">
        <v>6</v>
      </c>
      <c r="N229">
        <v>213.3240429999415</v>
      </c>
      <c r="O229">
        <f>DTDRpat_result0__3[[#This Row],[gap of angle (rad)2]]*10000</f>
        <v>1.0770359030940306</v>
      </c>
      <c r="P229">
        <v>1.0770359030940307E-4</v>
      </c>
    </row>
    <row r="230" spans="1:16" x14ac:dyDescent="0.3">
      <c r="A230" t="s">
        <v>6</v>
      </c>
      <c r="B230">
        <v>215.2029429999391</v>
      </c>
      <c r="C230">
        <f>DTDRpat_result0_1[[#This Row],[gap of angle (rad)2]]*10000</f>
        <v>0.91734350133349341</v>
      </c>
      <c r="D230">
        <v>9.1734350133349343E-5</v>
      </c>
      <c r="E230">
        <v>617.06092002431171</v>
      </c>
      <c r="G230" t="s">
        <v>6</v>
      </c>
      <c r="H230">
        <v>215.2029429999391</v>
      </c>
      <c r="I230">
        <f>DTDRpat_result0__2[[#This Row],[gap of angle (rad)2]]*10000</f>
        <v>0.96689391235021671</v>
      </c>
      <c r="J230">
        <v>9.668939123502167E-5</v>
      </c>
      <c r="K230" t="s">
        <v>7</v>
      </c>
      <c r="M230" t="s">
        <v>6</v>
      </c>
      <c r="N230">
        <v>215.2029429999391</v>
      </c>
      <c r="O230">
        <f>DTDRpat_result0__3[[#This Row],[gap of angle (rad)2]]*10000</f>
        <v>1.0642654271728729</v>
      </c>
      <c r="P230">
        <v>1.0642654271728728E-4</v>
      </c>
    </row>
    <row r="231" spans="1:16" x14ac:dyDescent="0.3">
      <c r="A231" t="s">
        <v>6</v>
      </c>
      <c r="B231">
        <v>215.2029429999391</v>
      </c>
      <c r="C231">
        <f>DTDRpat_result0_1[[#This Row],[gap of angle (rad)2]]*10000</f>
        <v>0.9257931479433793</v>
      </c>
      <c r="D231">
        <v>9.2579314794337931E-5</v>
      </c>
      <c r="E231">
        <v>614.2383146091961</v>
      </c>
      <c r="G231" t="s">
        <v>6</v>
      </c>
      <c r="H231">
        <v>215.2029429999391</v>
      </c>
      <c r="I231">
        <f>DTDRpat_result0__2[[#This Row],[gap of angle (rad)2]]*10000</f>
        <v>0.98057042306826869</v>
      </c>
      <c r="J231">
        <v>9.8057042306826865E-5</v>
      </c>
      <c r="K231" t="s">
        <v>8</v>
      </c>
      <c r="M231" t="s">
        <v>6</v>
      </c>
      <c r="N231">
        <v>215.2029429999391</v>
      </c>
      <c r="O231">
        <f>DTDRpat_result0__3[[#This Row],[gap of angle (rad)2]]*10000</f>
        <v>1.080702501553829</v>
      </c>
      <c r="P231">
        <v>1.0807025015538289E-4</v>
      </c>
    </row>
    <row r="232" spans="1:16" x14ac:dyDescent="0.3">
      <c r="A232" t="s">
        <v>6</v>
      </c>
      <c r="B232">
        <v>217.09436899993665</v>
      </c>
      <c r="C232">
        <f>DTDRpat_result0_1[[#This Row],[gap of angle (rad)2]]*10000</f>
        <v>0.9352056973817886</v>
      </c>
      <c r="D232">
        <v>9.3520569738178862E-5</v>
      </c>
      <c r="E232">
        <v>611.13924039531173</v>
      </c>
      <c r="G232" t="s">
        <v>6</v>
      </c>
      <c r="H232">
        <v>217.09436899993665</v>
      </c>
      <c r="I232">
        <f>DTDRpat_result0__2[[#This Row],[gap of angle (rad)2]]*10000</f>
        <v>0.9811358613474308</v>
      </c>
      <c r="J232">
        <v>9.8113586134743078E-5</v>
      </c>
      <c r="K232" t="s">
        <v>7</v>
      </c>
      <c r="M232" t="s">
        <v>6</v>
      </c>
      <c r="N232">
        <v>217.09436899993665</v>
      </c>
      <c r="O232">
        <f>DTDRpat_result0__3[[#This Row],[gap of angle (rad)2]]*10000</f>
        <v>1.0675674850752082</v>
      </c>
      <c r="P232">
        <v>1.0675674850752082E-4</v>
      </c>
    </row>
    <row r="233" spans="1:16" x14ac:dyDescent="0.3">
      <c r="A233" t="s">
        <v>6</v>
      </c>
      <c r="B233">
        <v>217.09436899993665</v>
      </c>
      <c r="C233">
        <f>DTDRpat_result0_1[[#This Row],[gap of angle (rad)2]]*10000</f>
        <v>0.94417827104190499</v>
      </c>
      <c r="D233">
        <v>9.4417827104190504E-5</v>
      </c>
      <c r="E233">
        <v>608.22828741933324</v>
      </c>
      <c r="G233" t="s">
        <v>6</v>
      </c>
      <c r="H233">
        <v>217.09436899993665</v>
      </c>
      <c r="I233">
        <f>DTDRpat_result0__2[[#This Row],[gap of angle (rad)2]]*10000</f>
        <v>0.99552580357614717</v>
      </c>
      <c r="J233">
        <v>9.955258035761472E-5</v>
      </c>
      <c r="K233" t="s">
        <v>8</v>
      </c>
      <c r="M233" t="s">
        <v>6</v>
      </c>
      <c r="N233">
        <v>217.09436899993665</v>
      </c>
      <c r="O233">
        <f>DTDRpat_result0__3[[#This Row],[gap of angle (rad)2]]*10000</f>
        <v>1.0844656346035315</v>
      </c>
      <c r="P233">
        <v>1.0844656346035316E-4</v>
      </c>
    </row>
    <row r="234" spans="1:16" x14ac:dyDescent="0.3">
      <c r="A234" t="s">
        <v>6</v>
      </c>
      <c r="B234">
        <v>218.98579499993423</v>
      </c>
      <c r="C234">
        <f>DTDRpat_result0_1[[#This Row],[gap of angle (rad)2]]*10000</f>
        <v>0.95415719005047384</v>
      </c>
      <c r="D234">
        <v>9.5415719005047389E-5</v>
      </c>
      <c r="E234">
        <v>605.03918543968041</v>
      </c>
      <c r="G234" t="s">
        <v>6</v>
      </c>
      <c r="H234">
        <v>218.98579499993423</v>
      </c>
      <c r="I234">
        <f>DTDRpat_result0__2[[#This Row],[gap of angle (rad)2]]*10000</f>
        <v>0.99611962221768346</v>
      </c>
      <c r="J234">
        <v>9.9611962221768347E-5</v>
      </c>
      <c r="K234" t="s">
        <v>7</v>
      </c>
      <c r="M234" t="s">
        <v>6</v>
      </c>
      <c r="N234">
        <v>218.98579499993423</v>
      </c>
      <c r="O234">
        <f>DTDRpat_result0__3[[#This Row],[gap of angle (rad)2]]*10000</f>
        <v>1.0709928353325349</v>
      </c>
      <c r="P234">
        <v>1.0709928353325349E-4</v>
      </c>
    </row>
    <row r="235" spans="1:16" x14ac:dyDescent="0.3">
      <c r="A235" t="s">
        <v>6</v>
      </c>
      <c r="B235">
        <v>218.98579499993423</v>
      </c>
      <c r="C235">
        <f>DTDRpat_result0_1[[#This Row],[gap of angle (rad)2]]*10000</f>
        <v>0.96365469610085608</v>
      </c>
      <c r="D235">
        <v>9.6365469610085603E-5</v>
      </c>
      <c r="E235">
        <v>602.05009070312087</v>
      </c>
      <c r="G235" t="s">
        <v>6</v>
      </c>
      <c r="H235">
        <v>218.98579499993423</v>
      </c>
      <c r="I235">
        <f>DTDRpat_result0__2[[#This Row],[gap of angle (rad)2]]*10000</f>
        <v>1.0112044590379266</v>
      </c>
      <c r="J235">
        <v>1.0112044590379266E-4</v>
      </c>
      <c r="K235" t="s">
        <v>8</v>
      </c>
      <c r="M235" t="s">
        <v>6</v>
      </c>
      <c r="N235">
        <v>218.98579499993423</v>
      </c>
      <c r="O235">
        <f>DTDRpat_result0__3[[#This Row],[gap of angle (rad)2]]*10000</f>
        <v>1.0882858314096127</v>
      </c>
      <c r="P235">
        <v>1.0882858314096127E-4</v>
      </c>
    </row>
    <row r="236" spans="1:16" x14ac:dyDescent="0.3">
      <c r="A236" t="s">
        <v>6</v>
      </c>
      <c r="B236">
        <v>220.87095799993179</v>
      </c>
      <c r="C236">
        <f>DTDRpat_result0_1[[#This Row],[gap of angle (rad)2]]*10000</f>
        <v>0.974132764424818</v>
      </c>
      <c r="D236">
        <v>9.7413276442481804E-5</v>
      </c>
      <c r="E236">
        <v>598.80325034414341</v>
      </c>
      <c r="G236" t="s">
        <v>6</v>
      </c>
      <c r="H236">
        <v>220.87095799993179</v>
      </c>
      <c r="I236">
        <f>DTDRpat_result0__2[[#This Row],[gap of angle (rad)2]]*10000</f>
        <v>1.0117726603770538</v>
      </c>
      <c r="J236">
        <v>1.0117726603770539E-4</v>
      </c>
      <c r="K236" t="s">
        <v>7</v>
      </c>
      <c r="M236" t="s">
        <v>6</v>
      </c>
      <c r="N236">
        <v>220.87095799993179</v>
      </c>
      <c r="O236">
        <f>DTDRpat_result0__3[[#This Row],[gap of angle (rad)2]]*10000</f>
        <v>1.0745167104905899</v>
      </c>
      <c r="P236">
        <v>1.07451671049059E-4</v>
      </c>
    </row>
    <row r="237" spans="1:16" x14ac:dyDescent="0.3">
      <c r="A237" t="s">
        <v>6</v>
      </c>
      <c r="B237">
        <v>220.87095799993179</v>
      </c>
      <c r="C237">
        <f>DTDRpat_result0_1[[#This Row],[gap of angle (rad)2]]*10000</f>
        <v>0.984152716331817</v>
      </c>
      <c r="D237">
        <v>9.8415271633181699E-5</v>
      </c>
      <c r="E237">
        <v>595.74699643237648</v>
      </c>
      <c r="G237" t="s">
        <v>6</v>
      </c>
      <c r="H237">
        <v>220.87095799993179</v>
      </c>
      <c r="I237">
        <f>DTDRpat_result0__2[[#This Row],[gap of angle (rad)2]]*10000</f>
        <v>1.0275263911037189</v>
      </c>
      <c r="J237">
        <v>1.0275263911037189E-4</v>
      </c>
      <c r="K237" t="s">
        <v>8</v>
      </c>
      <c r="M237" t="s">
        <v>6</v>
      </c>
      <c r="N237">
        <v>220.87095799993179</v>
      </c>
      <c r="O237">
        <f>DTDRpat_result0__3[[#This Row],[gap of angle (rad)2]]*10000</f>
        <v>1.0921343754133372</v>
      </c>
      <c r="P237">
        <v>1.0921343754133372E-4</v>
      </c>
    </row>
    <row r="238" spans="1:16" x14ac:dyDescent="0.3">
      <c r="A238" t="s">
        <v>6</v>
      </c>
      <c r="B238">
        <v>222.75612099992938</v>
      </c>
      <c r="C238">
        <f>DTDRpat_result0_1[[#This Row],[gap of angle (rad)2]]*10000</f>
        <v>0.9951899898475578</v>
      </c>
      <c r="D238">
        <v>9.9518998984755776E-5</v>
      </c>
      <c r="E238">
        <v>592.43402540886825</v>
      </c>
      <c r="G238" t="s">
        <v>6</v>
      </c>
      <c r="H238">
        <v>222.75612099992938</v>
      </c>
      <c r="I238">
        <f>DTDRpat_result0__2[[#This Row],[gap of angle (rad)2]]*10000</f>
        <v>1.0281187346903395</v>
      </c>
      <c r="J238">
        <v>1.0281187346903395E-4</v>
      </c>
      <c r="K238" t="s">
        <v>7</v>
      </c>
      <c r="M238" t="s">
        <v>6</v>
      </c>
      <c r="N238">
        <v>222.75612099992938</v>
      </c>
      <c r="O238">
        <f>DTDRpat_result0__3[[#This Row],[gap of angle (rad)2]]*10000</f>
        <v>1.0781367748881634</v>
      </c>
      <c r="P238">
        <v>1.0781367748881634E-4</v>
      </c>
    </row>
    <row r="239" spans="1:16" x14ac:dyDescent="0.3">
      <c r="A239" t="s">
        <v>6</v>
      </c>
      <c r="B239">
        <v>222.75612099992938</v>
      </c>
      <c r="C239">
        <f>DTDRpat_result0_1[[#This Row],[gap of angle (rad)2]]*10000</f>
        <v>1.0057282071033389</v>
      </c>
      <c r="D239">
        <v>1.0057282071033389E-4</v>
      </c>
      <c r="E239">
        <v>589.32188513895278</v>
      </c>
      <c r="G239" t="s">
        <v>6</v>
      </c>
      <c r="H239">
        <v>222.75612099992938</v>
      </c>
      <c r="I239">
        <f>DTDRpat_result0__2[[#This Row],[gap of angle (rad)2]]*10000</f>
        <v>1.0445118363345447</v>
      </c>
      <c r="J239">
        <v>1.0445118363345448E-4</v>
      </c>
      <c r="K239" t="s">
        <v>8</v>
      </c>
      <c r="M239" t="s">
        <v>6</v>
      </c>
      <c r="N239">
        <v>222.75612099992938</v>
      </c>
      <c r="O239">
        <f>DTDRpat_result0__3[[#This Row],[gap of angle (rad)2]]*10000</f>
        <v>1.0960075542944712</v>
      </c>
      <c r="P239">
        <v>1.0960075542944711E-4</v>
      </c>
    </row>
    <row r="240" spans="1:16" x14ac:dyDescent="0.3">
      <c r="A240" t="s">
        <v>6</v>
      </c>
      <c r="B240">
        <v>224.64128399992694</v>
      </c>
      <c r="C240">
        <f>DTDRpat_result0_1[[#This Row],[gap of angle (rad)2]]*10000</f>
        <v>1.0173180776282613</v>
      </c>
      <c r="D240">
        <v>1.0173180776282614E-4</v>
      </c>
      <c r="E240">
        <v>585.95518964677797</v>
      </c>
      <c r="G240" t="s">
        <v>6</v>
      </c>
      <c r="H240">
        <v>224.64128399992694</v>
      </c>
      <c r="I240">
        <f>DTDRpat_result0__2[[#This Row],[gap of angle (rad)2]]*10000</f>
        <v>1.0451270911770867</v>
      </c>
      <c r="J240">
        <v>1.0451270911770868E-4</v>
      </c>
      <c r="K240" t="s">
        <v>7</v>
      </c>
      <c r="M240" t="s">
        <v>6</v>
      </c>
      <c r="N240">
        <v>224.64128399992694</v>
      </c>
      <c r="O240">
        <f>DTDRpat_result0__3[[#This Row],[gap of angle (rad)2]]*10000</f>
        <v>1.0818389477002865</v>
      </c>
      <c r="P240">
        <v>1.0818389477002865E-4</v>
      </c>
    </row>
    <row r="241" spans="1:16" x14ac:dyDescent="0.3">
      <c r="A241" t="s">
        <v>6</v>
      </c>
      <c r="B241">
        <v>224.64128399992694</v>
      </c>
      <c r="C241">
        <f>DTDRpat_result0_1[[#This Row],[gap of angle (rad)2]]*10000</f>
        <v>1.028366186943021</v>
      </c>
      <c r="D241">
        <v>1.0283661869430211E-4</v>
      </c>
      <c r="E241">
        <v>582.79899863564913</v>
      </c>
      <c r="G241" t="s">
        <v>6</v>
      </c>
      <c r="H241">
        <v>224.64128399992694</v>
      </c>
      <c r="I241">
        <f>DTDRpat_result0__2[[#This Row],[gap of angle (rad)2]]*10000</f>
        <v>1.0621232345726843</v>
      </c>
      <c r="J241">
        <v>1.0621232345726842E-4</v>
      </c>
      <c r="K241" t="s">
        <v>8</v>
      </c>
      <c r="M241" t="s">
        <v>6</v>
      </c>
      <c r="N241">
        <v>224.64128399992694</v>
      </c>
      <c r="O241">
        <f>DTDRpat_result0__3[[#This Row],[gap of angle (rad)2]]*10000</f>
        <v>1.099888624496163</v>
      </c>
      <c r="P241">
        <v>1.099888624496163E-4</v>
      </c>
    </row>
    <row r="242" spans="1:16" x14ac:dyDescent="0.3">
      <c r="A242" t="s">
        <v>6</v>
      </c>
      <c r="B242">
        <v>226.53270999992452</v>
      </c>
      <c r="C242">
        <f>DTDRpat_result0_1[[#This Row],[gap of angle (rad)2]]*10000</f>
        <v>1.0405757311982144</v>
      </c>
      <c r="D242">
        <v>1.0405757311982145E-4</v>
      </c>
      <c r="E242">
        <v>579.36966721384454</v>
      </c>
      <c r="G242" t="s">
        <v>6</v>
      </c>
      <c r="H242">
        <v>226.53270999992452</v>
      </c>
      <c r="I242">
        <f>DTDRpat_result0__2[[#This Row],[gap of angle (rad)2]]*10000</f>
        <v>1.0628195538546343</v>
      </c>
      <c r="J242">
        <v>1.0628195538546343E-4</v>
      </c>
      <c r="K242" t="s">
        <v>7</v>
      </c>
      <c r="M242" t="s">
        <v>6</v>
      </c>
      <c r="N242">
        <v>226.53270999992452</v>
      </c>
      <c r="O242">
        <f>DTDRpat_result0__3[[#This Row],[gap of angle (rad)2]]*10000</f>
        <v>1.0856210799066202</v>
      </c>
      <c r="P242">
        <v>1.0856210799066201E-4</v>
      </c>
    </row>
    <row r="243" spans="1:16" x14ac:dyDescent="0.3">
      <c r="A243" t="s">
        <v>6</v>
      </c>
      <c r="B243">
        <v>226.53270999992452</v>
      </c>
      <c r="C243">
        <f>DTDRpat_result0_1[[#This Row],[gap of angle (rad)2]]*10000</f>
        <v>1.052121967876553</v>
      </c>
      <c r="D243">
        <v>1.052121967876553E-4</v>
      </c>
      <c r="E243">
        <v>576.18173283888211</v>
      </c>
      <c r="G243" t="s">
        <v>6</v>
      </c>
      <c r="H243">
        <v>226.53270999992452</v>
      </c>
      <c r="I243">
        <f>DTDRpat_result0__2[[#This Row],[gap of angle (rad)2]]*10000</f>
        <v>1.0803768035598422</v>
      </c>
      <c r="J243">
        <v>1.0803768035598423E-4</v>
      </c>
      <c r="K243" t="s">
        <v>8</v>
      </c>
      <c r="M243" t="s">
        <v>6</v>
      </c>
      <c r="N243">
        <v>226.53270999992452</v>
      </c>
      <c r="O243">
        <f>DTDRpat_result0__3[[#This Row],[gap of angle (rad)2]]*10000</f>
        <v>1.1037733687685809</v>
      </c>
      <c r="P243">
        <v>1.1037733687685809E-4</v>
      </c>
    </row>
    <row r="244" spans="1:16" x14ac:dyDescent="0.3">
      <c r="A244" t="s">
        <v>6</v>
      </c>
      <c r="B244">
        <v>228.42413599992207</v>
      </c>
      <c r="C244">
        <f>DTDRpat_result0_1[[#This Row],[gap of angle (rad)2]]*10000</f>
        <v>1.0648600106980766</v>
      </c>
      <c r="D244">
        <v>1.0648600106980765E-4</v>
      </c>
      <c r="E244">
        <v>572.72506447081048</v>
      </c>
      <c r="G244" t="s">
        <v>6</v>
      </c>
      <c r="H244">
        <v>228.42413599992207</v>
      </c>
      <c r="I244">
        <f>DTDRpat_result0__2[[#This Row],[gap of angle (rad)2]]*10000</f>
        <v>1.0810947007481817</v>
      </c>
      <c r="J244">
        <v>1.0810947007481816E-4</v>
      </c>
      <c r="K244" t="s">
        <v>7</v>
      </c>
      <c r="M244" t="s">
        <v>6</v>
      </c>
      <c r="N244">
        <v>228.42413599992207</v>
      </c>
      <c r="O244">
        <f>DTDRpat_result0__3[[#This Row],[gap of angle (rad)2]]*10000</f>
        <v>1.0894554868106376</v>
      </c>
      <c r="P244">
        <v>1.0894554868106377E-4</v>
      </c>
    </row>
    <row r="245" spans="1:16" x14ac:dyDescent="0.3">
      <c r="A245" t="s">
        <v>6</v>
      </c>
      <c r="B245">
        <v>228.42413599992207</v>
      </c>
      <c r="C245">
        <f>DTDRpat_result0_1[[#This Row],[gap of angle (rad)2]]*10000</f>
        <v>1.0768847855581327</v>
      </c>
      <c r="D245">
        <v>1.0768847855581328E-4</v>
      </c>
      <c r="E245">
        <v>569.51840976968981</v>
      </c>
      <c r="G245" t="s">
        <v>6</v>
      </c>
      <c r="H245">
        <v>228.42413599992207</v>
      </c>
      <c r="I245">
        <f>DTDRpat_result0__2[[#This Row],[gap of angle (rad)2]]*10000</f>
        <v>1.0991607505518806</v>
      </c>
      <c r="J245">
        <v>1.0991607505518807E-4</v>
      </c>
      <c r="K245" t="s">
        <v>8</v>
      </c>
      <c r="M245" t="s">
        <v>6</v>
      </c>
      <c r="N245">
        <v>228.42413599992207</v>
      </c>
      <c r="O245">
        <f>DTDRpat_result0__3[[#This Row],[gap of angle (rad)2]]*10000</f>
        <v>1.1076312777411783</v>
      </c>
      <c r="P245">
        <v>1.1076312777411782E-4</v>
      </c>
    </row>
    <row r="246" spans="1:16" x14ac:dyDescent="0.3">
      <c r="A246" t="s">
        <v>6</v>
      </c>
      <c r="B246">
        <v>230.30929899992211</v>
      </c>
      <c r="C246">
        <f>DTDRpat_result0_1[[#This Row],[gap of angle (rad)2]]*10000</f>
        <v>1.0900414327378096</v>
      </c>
      <c r="D246">
        <v>1.0900414327378097E-4</v>
      </c>
      <c r="E246">
        <v>566.07089496437311</v>
      </c>
      <c r="G246" t="s">
        <v>6</v>
      </c>
      <c r="H246">
        <v>230.30929899992211</v>
      </c>
      <c r="I246">
        <f>DTDRpat_result0__2[[#This Row],[gap of angle (rad)2]]*10000</f>
        <v>1.0998349132308642</v>
      </c>
      <c r="J246">
        <v>1.0998349132308642E-4</v>
      </c>
      <c r="K246" t="s">
        <v>7</v>
      </c>
      <c r="M246" t="s">
        <v>6</v>
      </c>
      <c r="N246">
        <v>230.30929899992211</v>
      </c>
      <c r="O246">
        <f>DTDRpat_result0__3[[#This Row],[gap of angle (rad)2]]*10000</f>
        <v>1.0933132669642371</v>
      </c>
      <c r="P246">
        <v>1.0933132669642371E-4</v>
      </c>
    </row>
    <row r="247" spans="1:16" x14ac:dyDescent="0.3">
      <c r="A247" t="s">
        <v>6</v>
      </c>
      <c r="B247">
        <v>230.30929899992211</v>
      </c>
      <c r="C247">
        <f>DTDRpat_result0_1[[#This Row],[gap of angle (rad)2]]*10000</f>
        <v>1.1025168783803498</v>
      </c>
      <c r="D247">
        <v>1.1025168783803498E-4</v>
      </c>
      <c r="E247">
        <v>562.85906863300488</v>
      </c>
      <c r="G247" t="s">
        <v>6</v>
      </c>
      <c r="H247">
        <v>230.30929899992211</v>
      </c>
      <c r="I247">
        <f>DTDRpat_result0__2[[#This Row],[gap of angle (rad)2]]*10000</f>
        <v>1.118346880477906</v>
      </c>
      <c r="J247">
        <v>1.1183468804779059E-4</v>
      </c>
      <c r="K247" t="s">
        <v>8</v>
      </c>
      <c r="M247" t="s">
        <v>6</v>
      </c>
      <c r="N247">
        <v>230.30929899992211</v>
      </c>
      <c r="O247">
        <f>DTDRpat_result0__3[[#This Row],[gap of angle (rad)2]]*10000</f>
        <v>1.111432004624435</v>
      </c>
      <c r="P247">
        <v>1.1114320046244351E-4</v>
      </c>
    </row>
    <row r="248" spans="1:16" x14ac:dyDescent="0.3">
      <c r="A248" t="s">
        <v>6</v>
      </c>
      <c r="B248">
        <v>232.19446199992382</v>
      </c>
      <c r="C248">
        <f>DTDRpat_result0_1[[#This Row],[gap of angle (rad)2]]*10000</f>
        <v>1.116140075123222</v>
      </c>
      <c r="D248">
        <v>1.116140075123222E-4</v>
      </c>
      <c r="E248">
        <v>559.41343441390904</v>
      </c>
      <c r="G248" t="s">
        <v>6</v>
      </c>
      <c r="H248">
        <v>232.19446199992382</v>
      </c>
      <c r="I248">
        <f>DTDRpat_result0__2[[#This Row],[gap of angle (rad)2]]*10000</f>
        <v>1.1190362124163942</v>
      </c>
      <c r="J248">
        <v>1.1190362124163942E-4</v>
      </c>
      <c r="K248" t="s">
        <v>7</v>
      </c>
      <c r="M248" t="s">
        <v>6</v>
      </c>
      <c r="N248">
        <v>232.19446199992382</v>
      </c>
      <c r="O248">
        <f>DTDRpat_result0__3[[#This Row],[gap of angle (rad)2]]*10000</f>
        <v>1.0971906423751165</v>
      </c>
      <c r="P248">
        <v>1.0971906423751166E-4</v>
      </c>
    </row>
    <row r="249" spans="1:16" x14ac:dyDescent="0.3">
      <c r="A249" t="s">
        <v>6</v>
      </c>
      <c r="B249">
        <v>232.19446199992382</v>
      </c>
      <c r="C249">
        <f>DTDRpat_result0_1[[#This Row],[gap of angle (rad)2]]*10000</f>
        <v>1.1290318974140383</v>
      </c>
      <c r="D249">
        <v>1.1290318974140382E-4</v>
      </c>
      <c r="E249">
        <v>556.21040311414447</v>
      </c>
      <c r="G249" t="s">
        <v>6</v>
      </c>
      <c r="H249">
        <v>232.19446199992382</v>
      </c>
      <c r="I249">
        <f>DTDRpat_result0__2[[#This Row],[gap of angle (rad)2]]*10000</f>
        <v>1.1379235237917413</v>
      </c>
      <c r="J249">
        <v>1.1379235237917412E-4</v>
      </c>
      <c r="K249" t="s">
        <v>8</v>
      </c>
      <c r="M249" t="s">
        <v>6</v>
      </c>
      <c r="N249">
        <v>232.19446199992382</v>
      </c>
      <c r="O249">
        <f>DTDRpat_result0__3[[#This Row],[gap of angle (rad)2]]*10000</f>
        <v>1.1151705091605224</v>
      </c>
      <c r="P249">
        <v>1.1151705091605224E-4</v>
      </c>
    </row>
    <row r="250" spans="1:16" x14ac:dyDescent="0.3">
      <c r="A250" t="s">
        <v>6</v>
      </c>
      <c r="B250">
        <v>234.07336199992565</v>
      </c>
      <c r="C250">
        <f>DTDRpat_result0_1[[#This Row],[gap of angle (rad)2]]*10000</f>
        <v>1.1429895365446612</v>
      </c>
      <c r="D250">
        <v>1.1429895365446611E-4</v>
      </c>
      <c r="E250">
        <v>552.80385772452019</v>
      </c>
      <c r="G250" t="s">
        <v>6</v>
      </c>
      <c r="H250">
        <v>234.07336199992565</v>
      </c>
      <c r="I250">
        <f>DTDRpat_result0__2[[#This Row],[gap of angle (rad)2]]*10000</f>
        <v>1.138559620701858</v>
      </c>
      <c r="J250">
        <v>1.1385596207018581E-4</v>
      </c>
      <c r="K250" t="s">
        <v>7</v>
      </c>
      <c r="M250" t="s">
        <v>6</v>
      </c>
      <c r="N250">
        <v>234.07336199992565</v>
      </c>
      <c r="O250">
        <f>DTDRpat_result0__3[[#This Row],[gap of angle (rad)2]]*10000</f>
        <v>1.1010578827054809</v>
      </c>
      <c r="P250">
        <v>1.1010578827054808E-4</v>
      </c>
    </row>
    <row r="251" spans="1:16" x14ac:dyDescent="0.3">
      <c r="A251" t="s">
        <v>6</v>
      </c>
      <c r="B251">
        <v>234.07336199992565</v>
      </c>
      <c r="C251">
        <f>DTDRpat_result0_1[[#This Row],[gap of angle (rad)2]]*10000</f>
        <v>1.1562534886641829</v>
      </c>
      <c r="D251">
        <v>1.1562534886641829E-4</v>
      </c>
      <c r="E251">
        <v>549.62395572529692</v>
      </c>
      <c r="G251" t="s">
        <v>6</v>
      </c>
      <c r="H251">
        <v>234.07336199992565</v>
      </c>
      <c r="I251">
        <f>DTDRpat_result0__2[[#This Row],[gap of angle (rad)2]]*10000</f>
        <v>1.1577404525445887</v>
      </c>
      <c r="J251">
        <v>1.1577404525445888E-4</v>
      </c>
      <c r="K251" t="s">
        <v>8</v>
      </c>
      <c r="M251" t="s">
        <v>6</v>
      </c>
      <c r="N251">
        <v>234.07336199992565</v>
      </c>
      <c r="O251">
        <f>DTDRpat_result0__3[[#This Row],[gap of angle (rad)2]]*10000</f>
        <v>1.1188169711526381</v>
      </c>
      <c r="P251">
        <v>1.1188169711526381E-4</v>
      </c>
    </row>
    <row r="252" spans="1:16" x14ac:dyDescent="0.3">
      <c r="A252" t="s">
        <v>6</v>
      </c>
      <c r="B252">
        <v>235.96478799992752</v>
      </c>
      <c r="C252">
        <f>DTDRpat_result0_1[[#This Row],[gap of angle (rad)2]]*10000</f>
        <v>1.1707675743949155</v>
      </c>
      <c r="D252">
        <v>1.1707675743949154E-4</v>
      </c>
      <c r="E252">
        <v>546.20646851232311</v>
      </c>
      <c r="G252" t="s">
        <v>6</v>
      </c>
      <c r="H252">
        <v>235.96478799992752</v>
      </c>
      <c r="I252">
        <f>DTDRpat_result0__2[[#This Row],[gap of angle (rad)2]]*10000</f>
        <v>1.1585178766832798</v>
      </c>
      <c r="J252">
        <v>1.1585178766832798E-4</v>
      </c>
      <c r="K252" t="s">
        <v>7</v>
      </c>
      <c r="M252" t="s">
        <v>6</v>
      </c>
      <c r="N252">
        <v>235.96478799992752</v>
      </c>
      <c r="O252">
        <f>DTDRpat_result0__3[[#This Row],[gap of angle (rad)2]]*10000</f>
        <v>1.1049364362040299</v>
      </c>
      <c r="P252">
        <v>1.1049364362040299E-4</v>
      </c>
    </row>
    <row r="253" spans="1:16" x14ac:dyDescent="0.3">
      <c r="A253" t="s">
        <v>6</v>
      </c>
      <c r="B253">
        <v>235.96478799992752</v>
      </c>
      <c r="C253">
        <f>DTDRpat_result0_1[[#This Row],[gap of angle (rad)2]]*10000</f>
        <v>1.184352925947052</v>
      </c>
      <c r="D253">
        <v>1.1843529259470521E-4</v>
      </c>
      <c r="E253">
        <v>543.06476192356354</v>
      </c>
      <c r="G253" t="s">
        <v>6</v>
      </c>
      <c r="H253">
        <v>235.96478799992752</v>
      </c>
      <c r="I253">
        <f>DTDRpat_result0__2[[#This Row],[gap of angle (rad)2]]*10000</f>
        <v>1.1779023436298235</v>
      </c>
      <c r="J253">
        <v>1.1779023436298234E-4</v>
      </c>
      <c r="K253" t="s">
        <v>8</v>
      </c>
      <c r="M253" t="s">
        <v>6</v>
      </c>
      <c r="N253">
        <v>235.96478799992752</v>
      </c>
      <c r="O253">
        <f>DTDRpat_result0__3[[#This Row],[gap of angle (rad)2]]*10000</f>
        <v>1.1223895981444674</v>
      </c>
      <c r="P253">
        <v>1.1223895981444674E-4</v>
      </c>
    </row>
    <row r="254" spans="1:16" x14ac:dyDescent="0.3">
      <c r="A254" t="s">
        <v>6</v>
      </c>
      <c r="B254">
        <v>237.84368799992936</v>
      </c>
      <c r="C254">
        <f>DTDRpat_result0_1[[#This Row],[gap of angle (rad)2]]*10000</f>
        <v>1.1989911089092462</v>
      </c>
      <c r="D254">
        <v>1.1989911089092463E-4</v>
      </c>
      <c r="E254">
        <v>539.73954055822503</v>
      </c>
      <c r="G254" t="s">
        <v>6</v>
      </c>
      <c r="H254">
        <v>237.84368799992936</v>
      </c>
      <c r="I254">
        <f>DTDRpat_result0__2[[#This Row],[gap of angle (rad)2]]*10000</f>
        <v>1.1785519533047857</v>
      </c>
      <c r="J254">
        <v>1.1785519533047856E-4</v>
      </c>
      <c r="K254" t="s">
        <v>7</v>
      </c>
      <c r="M254" t="s">
        <v>6</v>
      </c>
      <c r="N254">
        <v>237.84368799992936</v>
      </c>
      <c r="O254">
        <f>DTDRpat_result0__3[[#This Row],[gap of angle (rad)2]]*10000</f>
        <v>1.1087574655681052</v>
      </c>
      <c r="P254">
        <v>1.1087574655681051E-4</v>
      </c>
    </row>
    <row r="255" spans="1:16" x14ac:dyDescent="0.3">
      <c r="A255" t="s">
        <v>6</v>
      </c>
      <c r="B255">
        <v>237.84368799992936</v>
      </c>
      <c r="C255">
        <f>DTDRpat_result0_1[[#This Row],[gap of angle (rad)2]]*10000</f>
        <v>1.2128320754268329</v>
      </c>
      <c r="D255">
        <v>1.212832075426833E-4</v>
      </c>
      <c r="E255">
        <v>536.65096235523504</v>
      </c>
      <c r="G255" t="s">
        <v>6</v>
      </c>
      <c r="H255">
        <v>237.84368799992936</v>
      </c>
      <c r="I255">
        <f>DTDRpat_result0__2[[#This Row],[gap of angle (rad)2]]*10000</f>
        <v>1.1980365133750026</v>
      </c>
      <c r="J255">
        <v>1.1980365133750027E-4</v>
      </c>
      <c r="K255" t="s">
        <v>8</v>
      </c>
      <c r="M255" t="s">
        <v>6</v>
      </c>
      <c r="N255">
        <v>237.84368799992936</v>
      </c>
      <c r="O255">
        <f>DTDRpat_result0__3[[#This Row],[gap of angle (rad)2]]*10000</f>
        <v>1.1258234177904407</v>
      </c>
      <c r="P255">
        <v>1.1258234177904407E-4</v>
      </c>
    </row>
    <row r="256" spans="1:16" x14ac:dyDescent="0.3">
      <c r="A256" t="s">
        <v>6</v>
      </c>
      <c r="B256">
        <v>239.72885099993115</v>
      </c>
      <c r="C256">
        <f>DTDRpat_result0_1[[#This Row],[gap of angle (rad)2]]*10000</f>
        <v>1.2278008333488855</v>
      </c>
      <c r="D256">
        <v>1.2278008333488854E-4</v>
      </c>
      <c r="E256">
        <v>533.36968911136046</v>
      </c>
      <c r="G256" t="s">
        <v>6</v>
      </c>
      <c r="H256">
        <v>239.72885099993115</v>
      </c>
      <c r="I256">
        <f>DTDRpat_result0__2[[#This Row],[gap of angle (rad)2]]*10000</f>
        <v>1.1987548072995076</v>
      </c>
      <c r="J256">
        <v>1.1987548072995076E-4</v>
      </c>
      <c r="K256" t="s">
        <v>7</v>
      </c>
      <c r="M256" t="s">
        <v>6</v>
      </c>
      <c r="N256">
        <v>239.72885099993115</v>
      </c>
      <c r="O256">
        <f>DTDRpat_result0__3[[#This Row],[gap of angle (rad)2]]*10000</f>
        <v>1.1125417215922273</v>
      </c>
      <c r="P256">
        <v>1.1125417215922274E-4</v>
      </c>
    </row>
    <row r="257" spans="1:16" x14ac:dyDescent="0.3">
      <c r="A257" t="s">
        <v>6</v>
      </c>
      <c r="B257">
        <v>239.72885099993115</v>
      </c>
      <c r="C257">
        <f>DTDRpat_result0_1[[#This Row],[gap of angle (rad)2]]*10000</f>
        <v>1.2418228838549845</v>
      </c>
      <c r="D257">
        <v>1.2418228838549845E-4</v>
      </c>
      <c r="E257">
        <v>530.34993662232637</v>
      </c>
      <c r="G257" t="s">
        <v>6</v>
      </c>
      <c r="H257">
        <v>239.72885099993115</v>
      </c>
      <c r="I257">
        <f>DTDRpat_result0__2[[#This Row],[gap of angle (rad)2]]*10000</f>
        <v>1.2182265514469108</v>
      </c>
      <c r="J257">
        <v>1.2182265514469109E-4</v>
      </c>
      <c r="K257" t="s">
        <v>8</v>
      </c>
      <c r="M257" t="s">
        <v>6</v>
      </c>
      <c r="N257">
        <v>239.72885099993115</v>
      </c>
      <c r="O257">
        <f>DTDRpat_result0__3[[#This Row],[gap of angle (rad)2]]*10000</f>
        <v>1.129136038225651</v>
      </c>
      <c r="P257">
        <v>1.129136038225651E-4</v>
      </c>
    </row>
    <row r="258" spans="1:16" x14ac:dyDescent="0.3">
      <c r="A258" t="s">
        <v>6</v>
      </c>
      <c r="B258">
        <v>241.60775099993299</v>
      </c>
      <c r="C258">
        <f>DTDRpat_result0_1[[#This Row],[gap of angle (rad)2]]*10000</f>
        <v>1.2568434922420888</v>
      </c>
      <c r="D258">
        <v>1.2568434922420889E-4</v>
      </c>
      <c r="E258">
        <v>527.17137868127952</v>
      </c>
      <c r="G258" t="s">
        <v>6</v>
      </c>
      <c r="H258">
        <v>241.60775099993299</v>
      </c>
      <c r="I258">
        <f>DTDRpat_result0__2[[#This Row],[gap of angle (rad)2]]*10000</f>
        <v>1.218875228080311</v>
      </c>
      <c r="J258">
        <v>1.218875228080311E-4</v>
      </c>
      <c r="K258" t="s">
        <v>7</v>
      </c>
      <c r="M258" t="s">
        <v>6</v>
      </c>
      <c r="N258">
        <v>241.60775099993299</v>
      </c>
      <c r="O258">
        <f>DTDRpat_result0__3[[#This Row],[gap of angle (rad)2]]*10000</f>
        <v>1.1162462839918899</v>
      </c>
      <c r="P258">
        <v>1.1162462839918899E-4</v>
      </c>
    </row>
    <row r="259" spans="1:16" x14ac:dyDescent="0.3">
      <c r="A259" t="s">
        <v>6</v>
      </c>
      <c r="B259">
        <v>241.60775099993299</v>
      </c>
      <c r="C259">
        <f>DTDRpat_result0_1[[#This Row],[gap of angle (rad)2]]*10000</f>
        <v>1.2709587458671889</v>
      </c>
      <c r="D259">
        <v>1.2709587458671889E-4</v>
      </c>
      <c r="E259">
        <v>524.23592147592126</v>
      </c>
      <c r="G259" t="s">
        <v>6</v>
      </c>
      <c r="H259">
        <v>241.60775099993299</v>
      </c>
      <c r="I259">
        <f>DTDRpat_result0__2[[#This Row],[gap of angle (rad)2]]*10000</f>
        <v>1.238210598168626</v>
      </c>
      <c r="J259">
        <v>1.238210598168626E-4</v>
      </c>
      <c r="K259" t="s">
        <v>8</v>
      </c>
      <c r="M259" t="s">
        <v>6</v>
      </c>
      <c r="N259">
        <v>241.60775099993299</v>
      </c>
      <c r="O259">
        <f>DTDRpat_result0__3[[#This Row],[gap of angle (rad)2]]*10000</f>
        <v>1.1322885581712103</v>
      </c>
      <c r="P259">
        <v>1.1322885581712102E-4</v>
      </c>
    </row>
    <row r="260" spans="1:16" x14ac:dyDescent="0.3">
      <c r="A260" t="s">
        <v>6</v>
      </c>
      <c r="B260">
        <v>243.48665099993485</v>
      </c>
      <c r="C260">
        <f>DTDRpat_result0_1[[#This Row],[gap of angle (rad)2]]*10000</f>
        <v>1.2860273461528884</v>
      </c>
      <c r="D260">
        <v>1.2860273461528883E-4</v>
      </c>
      <c r="E260">
        <v>521.1557101691908</v>
      </c>
      <c r="G260" t="s">
        <v>6</v>
      </c>
      <c r="H260">
        <v>243.48665099993485</v>
      </c>
      <c r="I260">
        <f>DTDRpat_result0__2[[#This Row],[gap of angle (rad)2]]*10000</f>
        <v>1.2388525569491078</v>
      </c>
      <c r="J260">
        <v>1.2388525569491078E-4</v>
      </c>
      <c r="K260" t="s">
        <v>7</v>
      </c>
      <c r="M260" t="s">
        <v>6</v>
      </c>
      <c r="N260">
        <v>243.48665099993485</v>
      </c>
      <c r="O260">
        <f>DTDRpat_result0__3[[#This Row],[gap of angle (rad)2]]*10000</f>
        <v>1.1198661242137755</v>
      </c>
      <c r="P260">
        <v>1.1198661242137755E-4</v>
      </c>
    </row>
    <row r="261" spans="1:16" x14ac:dyDescent="0.3">
      <c r="A261" t="s">
        <v>6</v>
      </c>
      <c r="B261">
        <v>243.48665099993485</v>
      </c>
      <c r="C261">
        <f>DTDRpat_result0_1[[#This Row],[gap of angle (rad)2]]*10000</f>
        <v>1.300136314616251</v>
      </c>
      <c r="D261">
        <v>1.300136314616251E-4</v>
      </c>
      <c r="E261">
        <v>518.3203577409754</v>
      </c>
      <c r="G261" t="s">
        <v>6</v>
      </c>
      <c r="H261">
        <v>243.48665099993485</v>
      </c>
      <c r="I261">
        <f>DTDRpat_result0__2[[#This Row],[gap of angle (rad)2]]*10000</f>
        <v>1.2579181575481826</v>
      </c>
      <c r="J261">
        <v>1.2579181575481826E-4</v>
      </c>
      <c r="K261" t="s">
        <v>8</v>
      </c>
      <c r="M261" t="s">
        <v>6</v>
      </c>
      <c r="N261">
        <v>243.48665099993485</v>
      </c>
      <c r="O261">
        <f>DTDRpat_result0__3[[#This Row],[gap of angle (rad)2]]*10000</f>
        <v>1.1352759352569852</v>
      </c>
      <c r="P261">
        <v>1.1352759352569853E-4</v>
      </c>
    </row>
    <row r="262" spans="1:16" x14ac:dyDescent="0.3">
      <c r="A262" t="s">
        <v>6</v>
      </c>
      <c r="B262">
        <v>245.37807699993664</v>
      </c>
      <c r="C262">
        <f>DTDRpat_result0_1[[#This Row],[gap of angle (rad)2]]*10000</f>
        <v>1.3153334421768803</v>
      </c>
      <c r="D262">
        <v>1.3153334421768802E-4</v>
      </c>
      <c r="E262">
        <v>515.31751713253925</v>
      </c>
      <c r="G262" t="s">
        <v>6</v>
      </c>
      <c r="H262">
        <v>245.37807699993664</v>
      </c>
      <c r="I262">
        <f>DTDRpat_result0__2[[#This Row],[gap of angle (rad)2]]*10000</f>
        <v>1.2586788063813277</v>
      </c>
      <c r="J262">
        <v>1.2586788063813278E-4</v>
      </c>
      <c r="K262" t="s">
        <v>7</v>
      </c>
      <c r="M262" t="s">
        <v>6</v>
      </c>
      <c r="N262">
        <v>245.37807699993664</v>
      </c>
      <c r="O262">
        <f>DTDRpat_result0__3[[#This Row],[gap of angle (rad)2]]*10000</f>
        <v>1.1234067653856494</v>
      </c>
      <c r="P262">
        <v>1.1234067653856494E-4</v>
      </c>
    </row>
    <row r="263" spans="1:16" x14ac:dyDescent="0.3">
      <c r="A263" t="s">
        <v>6</v>
      </c>
      <c r="B263">
        <v>245.37807699993664</v>
      </c>
      <c r="C263">
        <f>DTDRpat_result0_1[[#This Row],[gap of angle (rad)2]]*10000</f>
        <v>1.3293230867763146</v>
      </c>
      <c r="D263">
        <v>1.3293230867763146E-4</v>
      </c>
      <c r="E263">
        <v>512.59893546487444</v>
      </c>
      <c r="G263" t="s">
        <v>6</v>
      </c>
      <c r="H263">
        <v>245.37807699993664</v>
      </c>
      <c r="I263">
        <f>DTDRpat_result0__2[[#This Row],[gap of angle (rad)2]]*10000</f>
        <v>1.2773288508607523</v>
      </c>
      <c r="J263">
        <v>1.2773288508607523E-4</v>
      </c>
      <c r="K263" t="s">
        <v>8</v>
      </c>
      <c r="M263" t="s">
        <v>6</v>
      </c>
      <c r="N263">
        <v>245.37807699993664</v>
      </c>
      <c r="O263">
        <f>DTDRpat_result0__3[[#This Row],[gap of angle (rad)2]]*10000</f>
        <v>1.1381004454311201</v>
      </c>
      <c r="P263">
        <v>1.1381004454311202E-4</v>
      </c>
    </row>
    <row r="264" spans="1:16" x14ac:dyDescent="0.3">
      <c r="A264" t="s">
        <v>6</v>
      </c>
      <c r="B264">
        <v>247.26950299993851</v>
      </c>
      <c r="C264">
        <f>DTDRpat_result0_1[[#This Row],[gap of angle (rad)2]]*10000</f>
        <v>1.3443250954217574</v>
      </c>
      <c r="D264">
        <v>1.3443250954217574E-4</v>
      </c>
      <c r="E264">
        <v>509.73091702050448</v>
      </c>
      <c r="G264" t="s">
        <v>6</v>
      </c>
      <c r="H264">
        <v>247.26950299993851</v>
      </c>
      <c r="I264">
        <f>DTDRpat_result0__2[[#This Row],[gap of angle (rad)2]]*10000</f>
        <v>1.2780697211660144</v>
      </c>
      <c r="J264">
        <v>1.2780697211660144E-4</v>
      </c>
      <c r="K264" t="s">
        <v>7</v>
      </c>
      <c r="M264" t="s">
        <v>6</v>
      </c>
      <c r="N264">
        <v>247.26950299993851</v>
      </c>
      <c r="O264">
        <f>DTDRpat_result0__3[[#This Row],[gap of angle (rad)2]]*10000</f>
        <v>1.1268259578647875</v>
      </c>
      <c r="P264">
        <v>1.1268259578647875E-4</v>
      </c>
    </row>
    <row r="265" spans="1:16" x14ac:dyDescent="0.3">
      <c r="A265" t="s">
        <v>6</v>
      </c>
      <c r="B265">
        <v>247.26950299993851</v>
      </c>
      <c r="C265">
        <f>DTDRpat_result0_1[[#This Row],[gap of angle (rad)2]]*10000</f>
        <v>1.35807005421071</v>
      </c>
      <c r="D265">
        <v>1.35807005421071E-4</v>
      </c>
      <c r="E265">
        <v>507.14506404734044</v>
      </c>
      <c r="G265" t="s">
        <v>6</v>
      </c>
      <c r="H265">
        <v>247.26950299993851</v>
      </c>
      <c r="I265">
        <f>DTDRpat_result0__2[[#This Row],[gap of angle (rad)2]]*10000</f>
        <v>1.2961518859602539</v>
      </c>
      <c r="J265">
        <v>1.2961518859602538E-4</v>
      </c>
      <c r="K265" t="s">
        <v>8</v>
      </c>
      <c r="M265" t="s">
        <v>6</v>
      </c>
      <c r="N265">
        <v>247.26950299993851</v>
      </c>
      <c r="O265">
        <f>DTDRpat_result0__3[[#This Row],[gap of angle (rad)2]]*10000</f>
        <v>1.1407264125155745</v>
      </c>
      <c r="P265">
        <v>1.1407264125155744E-4</v>
      </c>
    </row>
    <row r="266" spans="1:16" x14ac:dyDescent="0.3">
      <c r="A266" t="s">
        <v>6</v>
      </c>
      <c r="B266">
        <v>249.15466599994036</v>
      </c>
      <c r="C266">
        <f>DTDRpat_result0_1[[#This Row],[gap of angle (rad)2]]*10000</f>
        <v>1.3726426647590624</v>
      </c>
      <c r="D266">
        <v>1.3726426647590623E-4</v>
      </c>
      <c r="E266">
        <v>504.44605464700646</v>
      </c>
      <c r="G266" t="s">
        <v>6</v>
      </c>
      <c r="H266">
        <v>249.15466599994036</v>
      </c>
      <c r="I266">
        <f>DTDRpat_result0__2[[#This Row],[gap of angle (rad)2]]*10000</f>
        <v>1.2968056480502048</v>
      </c>
      <c r="J266">
        <v>1.2968056480502048E-4</v>
      </c>
      <c r="K266" t="s">
        <v>7</v>
      </c>
      <c r="M266" t="s">
        <v>6</v>
      </c>
      <c r="N266">
        <v>249.15466599994036</v>
      </c>
      <c r="O266">
        <f>DTDRpat_result0__3[[#This Row],[gap of angle (rad)2]]*10000</f>
        <v>1.130095665925039</v>
      </c>
      <c r="P266">
        <v>1.130095665925039E-4</v>
      </c>
    </row>
    <row r="267" spans="1:16" x14ac:dyDescent="0.3">
      <c r="A267" t="s">
        <v>6</v>
      </c>
      <c r="B267">
        <v>249.15466599994036</v>
      </c>
      <c r="C267">
        <f>DTDRpat_result0_1[[#This Row],[gap of angle (rad)2]]*10000</f>
        <v>1.3860082620908756</v>
      </c>
      <c r="D267">
        <v>1.3860082620908756E-4</v>
      </c>
      <c r="E267">
        <v>502.00813635030232</v>
      </c>
      <c r="G267" t="s">
        <v>6</v>
      </c>
      <c r="H267">
        <v>249.15466599994036</v>
      </c>
      <c r="I267">
        <f>DTDRpat_result0__2[[#This Row],[gap of angle (rad)2]]*10000</f>
        <v>1.3141641497376291</v>
      </c>
      <c r="J267">
        <v>1.314164149737629E-4</v>
      </c>
      <c r="K267" t="s">
        <v>8</v>
      </c>
      <c r="M267" t="s">
        <v>6</v>
      </c>
      <c r="N267">
        <v>249.15466599994036</v>
      </c>
      <c r="O267">
        <f>DTDRpat_result0__3[[#This Row],[gap of angle (rad)2]]*10000</f>
        <v>1.1431318182051633</v>
      </c>
      <c r="P267">
        <v>1.1431318182051633E-4</v>
      </c>
    </row>
    <row r="268" spans="1:16" x14ac:dyDescent="0.3">
      <c r="A268" t="s">
        <v>6</v>
      </c>
      <c r="B268">
        <v>251.03982899994216</v>
      </c>
      <c r="C268">
        <f>DTDRpat_result0_1[[#This Row],[gap of angle (rad)2]]*10000</f>
        <v>1.4000971288357953</v>
      </c>
      <c r="D268">
        <v>1.4000971288357953E-4</v>
      </c>
      <c r="E268">
        <v>499.47620091923756</v>
      </c>
      <c r="G268" t="s">
        <v>6</v>
      </c>
      <c r="H268">
        <v>251.03982899994216</v>
      </c>
      <c r="I268">
        <f>DTDRpat_result0__2[[#This Row],[gap of angle (rad)2]]*10000</f>
        <v>1.3147883099139139</v>
      </c>
      <c r="J268">
        <v>1.314788309913914E-4</v>
      </c>
      <c r="K268" t="s">
        <v>7</v>
      </c>
      <c r="M268" t="s">
        <v>6</v>
      </c>
      <c r="N268">
        <v>251.03982899994216</v>
      </c>
      <c r="O268">
        <f>DTDRpat_result0__3[[#This Row],[gap of angle (rad)2]]*10000</f>
        <v>1.1332105312604157</v>
      </c>
      <c r="P268">
        <v>1.1332105312604158E-4</v>
      </c>
    </row>
    <row r="269" spans="1:16" x14ac:dyDescent="0.3">
      <c r="A269" t="s">
        <v>6</v>
      </c>
      <c r="B269">
        <v>251.03982899994216</v>
      </c>
      <c r="C269">
        <f>DTDRpat_result0_1[[#This Row],[gap of angle (rad)2]]*10000</f>
        <v>1.4129390276040183</v>
      </c>
      <c r="D269">
        <v>1.4129390276040182E-4</v>
      </c>
      <c r="E269">
        <v>497.20145009537481</v>
      </c>
      <c r="G269" t="s">
        <v>6</v>
      </c>
      <c r="H269">
        <v>251.03982899994216</v>
      </c>
      <c r="I269">
        <f>DTDRpat_result0__2[[#This Row],[gap of angle (rad)2]]*10000</f>
        <v>1.3312619611907124</v>
      </c>
      <c r="J269">
        <v>1.3312619611907125E-4</v>
      </c>
      <c r="K269" t="s">
        <v>8</v>
      </c>
      <c r="M269" t="s">
        <v>6</v>
      </c>
      <c r="N269">
        <v>251.03982899994216</v>
      </c>
      <c r="O269">
        <f>DTDRpat_result0__3[[#This Row],[gap of angle (rad)2]]*10000</f>
        <v>1.1453124977410225</v>
      </c>
      <c r="P269">
        <v>1.1453124977410226E-4</v>
      </c>
    </row>
    <row r="270" spans="1:16" x14ac:dyDescent="0.3">
      <c r="A270" t="s">
        <v>6</v>
      </c>
      <c r="B270">
        <v>252.931254999944</v>
      </c>
      <c r="C270">
        <f>DTDRpat_result0_1[[#This Row],[gap of angle (rad)2]]*10000</f>
        <v>1.426470331536162</v>
      </c>
      <c r="D270">
        <v>1.426470331536162E-4</v>
      </c>
      <c r="E270">
        <v>494.83792027213747</v>
      </c>
      <c r="G270" t="s">
        <v>6</v>
      </c>
      <c r="H270">
        <v>252.931254999944</v>
      </c>
      <c r="I270">
        <f>DTDRpat_result0__2[[#This Row],[gap of angle (rad)2]]*10000</f>
        <v>1.3319054998765945</v>
      </c>
      <c r="J270">
        <v>1.3319054998765944E-4</v>
      </c>
      <c r="K270" t="s">
        <v>7</v>
      </c>
      <c r="M270" t="s">
        <v>6</v>
      </c>
      <c r="N270">
        <v>252.931254999944</v>
      </c>
      <c r="O270">
        <f>DTDRpat_result0__3[[#This Row],[gap of angle (rad)2]]*10000</f>
        <v>1.136163726700939</v>
      </c>
      <c r="P270">
        <v>1.136163726700939E-4</v>
      </c>
    </row>
    <row r="271" spans="1:16" x14ac:dyDescent="0.3">
      <c r="A271" t="s">
        <v>6</v>
      </c>
      <c r="B271">
        <v>252.931254999944</v>
      </c>
      <c r="C271">
        <f>DTDRpat_result0_1[[#This Row],[gap of angle (rad)2]]*10000</f>
        <v>1.4386351302968738</v>
      </c>
      <c r="D271">
        <v>1.4386351302968738E-4</v>
      </c>
      <c r="E271">
        <v>492.74163135148854</v>
      </c>
      <c r="G271" t="s">
        <v>6</v>
      </c>
      <c r="H271">
        <v>252.931254999944</v>
      </c>
      <c r="I271">
        <f>DTDRpat_result0__2[[#This Row],[gap of angle (rad)2]]*10000</f>
        <v>1.3473282148057801</v>
      </c>
      <c r="J271">
        <v>1.3473282148057802E-4</v>
      </c>
      <c r="K271" t="s">
        <v>8</v>
      </c>
      <c r="M271" t="s">
        <v>6</v>
      </c>
      <c r="N271">
        <v>252.931254999944</v>
      </c>
      <c r="O271">
        <f>DTDRpat_result0__3[[#This Row],[gap of angle (rad)2]]*10000</f>
        <v>1.1472623392533197</v>
      </c>
      <c r="P271">
        <v>1.1472623392533196E-4</v>
      </c>
    </row>
    <row r="272" spans="1:16" x14ac:dyDescent="0.3">
      <c r="A272" t="s">
        <v>6</v>
      </c>
      <c r="B272">
        <v>254.82268099994587</v>
      </c>
      <c r="C272">
        <f>DTDRpat_result0_1[[#This Row],[gap of angle (rad)2]]*10000</f>
        <v>1.4513510173761037</v>
      </c>
      <c r="D272">
        <v>1.4513510173761037E-4</v>
      </c>
      <c r="E272">
        <v>490.57863817108665</v>
      </c>
      <c r="G272" t="s">
        <v>6</v>
      </c>
      <c r="H272">
        <v>254.82268099994587</v>
      </c>
      <c r="I272">
        <f>DTDRpat_result0__2[[#This Row],[gap of angle (rad)2]]*10000</f>
        <v>1.3479261545645425</v>
      </c>
      <c r="J272">
        <v>1.3479261545645425E-4</v>
      </c>
      <c r="K272" t="s">
        <v>7</v>
      </c>
      <c r="M272" t="s">
        <v>6</v>
      </c>
      <c r="N272">
        <v>254.82268099994587</v>
      </c>
      <c r="O272">
        <f>DTDRpat_result0__3[[#This Row],[gap of angle (rad)2]]*10000</f>
        <v>1.1389288552066581</v>
      </c>
      <c r="P272">
        <v>1.138928855206658E-4</v>
      </c>
    </row>
    <row r="273" spans="1:16" x14ac:dyDescent="0.3">
      <c r="A273" t="s">
        <v>6</v>
      </c>
      <c r="B273">
        <v>254.82268099994587</v>
      </c>
      <c r="C273">
        <f>DTDRpat_result0_1[[#This Row],[gap of angle (rad)2]]*10000</f>
        <v>1.4626832589502501</v>
      </c>
      <c r="D273">
        <v>1.4626832589502501E-4</v>
      </c>
      <c r="E273">
        <v>488.67485149175252</v>
      </c>
      <c r="G273" t="s">
        <v>6</v>
      </c>
      <c r="H273">
        <v>254.82268099994587</v>
      </c>
      <c r="I273">
        <f>DTDRpat_result0__2[[#This Row],[gap of angle (rad)2]]*10000</f>
        <v>1.362136386414601</v>
      </c>
      <c r="J273">
        <v>1.362136386414601E-4</v>
      </c>
      <c r="K273" t="s">
        <v>8</v>
      </c>
      <c r="M273" t="s">
        <v>6</v>
      </c>
      <c r="N273">
        <v>254.82268099994587</v>
      </c>
      <c r="O273">
        <f>DTDRpat_result0__3[[#This Row],[gap of angle (rad)2]]*10000</f>
        <v>1.1489627383096286</v>
      </c>
      <c r="P273">
        <v>1.1489627383096286E-4</v>
      </c>
    </row>
    <row r="274" spans="1:16" x14ac:dyDescent="0.3">
      <c r="A274" t="s">
        <v>6</v>
      </c>
      <c r="B274">
        <v>256.71410699994607</v>
      </c>
      <c r="C274">
        <f>DTDRpat_result0_1[[#This Row],[gap of angle (rad)2]]*10000</f>
        <v>1.4744153331425986</v>
      </c>
      <c r="D274">
        <v>1.4744153331425986E-4</v>
      </c>
      <c r="E274">
        <v>486.72709297837162</v>
      </c>
      <c r="G274" t="s">
        <v>6</v>
      </c>
      <c r="H274">
        <v>256.71410699994607</v>
      </c>
      <c r="I274">
        <f>DTDRpat_result0__2[[#This Row],[gap of angle (rad)2]]*10000</f>
        <v>1.3626822857906467</v>
      </c>
      <c r="J274">
        <v>1.3626822857906466E-4</v>
      </c>
      <c r="K274" t="s">
        <v>7</v>
      </c>
      <c r="M274" t="s">
        <v>6</v>
      </c>
      <c r="N274">
        <v>256.71410699994607</v>
      </c>
      <c r="O274">
        <f>DTDRpat_result0__3[[#This Row],[gap of angle (rad)2]]*10000</f>
        <v>1.1414908951444325</v>
      </c>
      <c r="P274">
        <v>1.1414908951444324E-4</v>
      </c>
    </row>
    <row r="275" spans="1:16" x14ac:dyDescent="0.3">
      <c r="A275" t="s">
        <v>6</v>
      </c>
      <c r="B275">
        <v>256.71410699994607</v>
      </c>
      <c r="C275">
        <f>DTDRpat_result0_1[[#This Row],[gap of angle (rad)2]]*10000</f>
        <v>1.4847597783964022</v>
      </c>
      <c r="D275">
        <v>1.4847597783964022E-4</v>
      </c>
      <c r="E275">
        <v>485.02892617157062</v>
      </c>
      <c r="G275" t="s">
        <v>6</v>
      </c>
      <c r="H275">
        <v>256.71410699994607</v>
      </c>
      <c r="I275">
        <f>DTDRpat_result0__2[[#This Row],[gap of angle (rad)2]]*10000</f>
        <v>1.3755237937220193</v>
      </c>
      <c r="J275">
        <v>1.3755237937220193E-4</v>
      </c>
      <c r="K275" t="s">
        <v>8</v>
      </c>
      <c r="M275" t="s">
        <v>6</v>
      </c>
      <c r="N275">
        <v>256.71410699994607</v>
      </c>
      <c r="O275">
        <f>DTDRpat_result0__3[[#This Row],[gap of angle (rad)2]]*10000</f>
        <v>1.1504039729338233</v>
      </c>
      <c r="P275">
        <v>1.1504039729338233E-4</v>
      </c>
    </row>
    <row r="276" spans="1:16" x14ac:dyDescent="0.3">
      <c r="A276" t="s">
        <v>6</v>
      </c>
      <c r="B276">
        <v>258.59926999994366</v>
      </c>
      <c r="C276">
        <f>DTDRpat_result0_1[[#This Row],[gap of angle (rad)2]]*10000</f>
        <v>1.4952767178344202</v>
      </c>
      <c r="D276">
        <v>1.4952767178344202E-4</v>
      </c>
      <c r="E276">
        <v>483.32057242838766</v>
      </c>
      <c r="G276" t="s">
        <v>6</v>
      </c>
      <c r="H276">
        <v>258.59926999994366</v>
      </c>
      <c r="I276">
        <f>DTDRpat_result0__2[[#This Row],[gap of angle (rad)2]]*10000</f>
        <v>1.3759698691677342</v>
      </c>
      <c r="J276">
        <v>1.3759698691677343E-4</v>
      </c>
      <c r="K276" t="s">
        <v>7</v>
      </c>
      <c r="M276" t="s">
        <v>6</v>
      </c>
      <c r="N276">
        <v>258.59926999994366</v>
      </c>
      <c r="O276">
        <f>DTDRpat_result0__3[[#This Row],[gap of angle (rad)2]]*10000</f>
        <v>1.1438284115281492</v>
      </c>
      <c r="P276">
        <v>1.1438284115281493E-4</v>
      </c>
    </row>
    <row r="277" spans="1:16" x14ac:dyDescent="0.3">
      <c r="A277" t="s">
        <v>6</v>
      </c>
      <c r="B277">
        <v>258.59926999994366</v>
      </c>
      <c r="C277">
        <f>DTDRpat_result0_1[[#This Row],[gap of angle (rad)2]]*10000</f>
        <v>1.5044866554793819</v>
      </c>
      <c r="D277">
        <v>1.5044866554793818E-4</v>
      </c>
      <c r="E277">
        <v>481.8392938163733</v>
      </c>
      <c r="G277" t="s">
        <v>6</v>
      </c>
      <c r="H277">
        <v>258.59926999994366</v>
      </c>
      <c r="I277">
        <f>DTDRpat_result0__2[[#This Row],[gap of angle (rad)2]]*10000</f>
        <v>1.3873003810450626</v>
      </c>
      <c r="J277">
        <v>1.3873003810450625E-4</v>
      </c>
      <c r="K277" t="s">
        <v>8</v>
      </c>
      <c r="M277" t="s">
        <v>6</v>
      </c>
      <c r="N277">
        <v>258.59926999994366</v>
      </c>
      <c r="O277">
        <f>DTDRpat_result0__3[[#This Row],[gap of angle (rad)2]]*10000</f>
        <v>1.1515743480825418</v>
      </c>
      <c r="P277">
        <v>1.1515743480825418E-4</v>
      </c>
    </row>
    <row r="278" spans="1:16" x14ac:dyDescent="0.3">
      <c r="A278" t="s">
        <v>6</v>
      </c>
      <c r="B278">
        <v>260.49069599994124</v>
      </c>
      <c r="C278">
        <f>DTDRpat_result0_1[[#This Row],[gap of angle (rad)2]]*10000</f>
        <v>1.5137653807143405</v>
      </c>
      <c r="D278">
        <v>1.5137653807143406E-4</v>
      </c>
      <c r="E278">
        <v>480.36068618540702</v>
      </c>
      <c r="G278" t="s">
        <v>6</v>
      </c>
      <c r="H278">
        <v>260.49069599994124</v>
      </c>
      <c r="I278">
        <f>DTDRpat_result0__2[[#This Row],[gap of angle (rad)2]]*10000</f>
        <v>1.3877244304399243</v>
      </c>
      <c r="J278">
        <v>1.3877244304399242E-4</v>
      </c>
      <c r="K278" t="s">
        <v>7</v>
      </c>
      <c r="M278" t="s">
        <v>6</v>
      </c>
      <c r="N278">
        <v>260.49069599994124</v>
      </c>
      <c r="O278">
        <f>DTDRpat_result0__3[[#This Row],[gap of angle (rad)2]]*10000</f>
        <v>1.1459439118509829</v>
      </c>
      <c r="P278">
        <v>1.1459439118509829E-4</v>
      </c>
    </row>
    <row r="279" spans="1:16" x14ac:dyDescent="0.3">
      <c r="A279" t="s">
        <v>6</v>
      </c>
      <c r="B279">
        <v>260.49069599994124</v>
      </c>
      <c r="C279">
        <f>DTDRpat_result0_1[[#This Row],[gap of angle (rad)2]]*10000</f>
        <v>1.521695762714796</v>
      </c>
      <c r="D279">
        <v>1.521695762714796E-4</v>
      </c>
      <c r="E279">
        <v>479.10771478142607</v>
      </c>
      <c r="G279" t="s">
        <v>6</v>
      </c>
      <c r="H279">
        <v>260.49069599994124</v>
      </c>
      <c r="I279">
        <f>DTDRpat_result0__2[[#This Row],[gap of angle (rad)2]]*10000</f>
        <v>1.3974039808452892</v>
      </c>
      <c r="J279">
        <v>1.3974039808452892E-4</v>
      </c>
      <c r="K279" t="s">
        <v>8</v>
      </c>
      <c r="M279" t="s">
        <v>6</v>
      </c>
      <c r="N279">
        <v>260.49069599994124</v>
      </c>
      <c r="O279">
        <f>DTDRpat_result0__3[[#This Row],[gap of angle (rad)2]]*10000</f>
        <v>1.1524748719898936</v>
      </c>
      <c r="P279">
        <v>1.1524748719898935E-4</v>
      </c>
    </row>
    <row r="280" spans="1:16" x14ac:dyDescent="0.3">
      <c r="A280" t="s">
        <v>6</v>
      </c>
      <c r="B280">
        <v>262.38212199993882</v>
      </c>
      <c r="C280">
        <f>DTDRpat_result0_1[[#This Row],[gap of angle (rad)2]]*10000</f>
        <v>1.5295207042568635</v>
      </c>
      <c r="D280">
        <v>1.5295207042568634E-4</v>
      </c>
      <c r="E280">
        <v>477.88101289645761</v>
      </c>
      <c r="G280" t="s">
        <v>6</v>
      </c>
      <c r="H280">
        <v>262.38212199993882</v>
      </c>
      <c r="I280">
        <f>DTDRpat_result0__2[[#This Row],[gap of angle (rad)2]]*10000</f>
        <v>1.3977589931833392</v>
      </c>
      <c r="J280">
        <v>1.3977589931833391E-4</v>
      </c>
      <c r="K280" t="s">
        <v>7</v>
      </c>
      <c r="M280" t="s">
        <v>6</v>
      </c>
      <c r="N280">
        <v>262.38212199993882</v>
      </c>
      <c r="O280">
        <f>DTDRpat_result0__3[[#This Row],[gap of angle (rad)2]]*10000</f>
        <v>1.1478174411451556</v>
      </c>
      <c r="P280">
        <v>1.1478174411451557E-4</v>
      </c>
    </row>
    <row r="281" spans="1:16" x14ac:dyDescent="0.3">
      <c r="A281" t="s">
        <v>6</v>
      </c>
      <c r="B281">
        <v>262.38212199993882</v>
      </c>
      <c r="C281">
        <f>DTDRpat_result0_1[[#This Row],[gap of angle (rad)2]]*10000</f>
        <v>1.536043948188367</v>
      </c>
      <c r="D281">
        <v>1.536043948188367E-4</v>
      </c>
      <c r="E281">
        <v>476.86559817399268</v>
      </c>
      <c r="G281" t="s">
        <v>6</v>
      </c>
      <c r="H281">
        <v>262.38212199993882</v>
      </c>
      <c r="I281">
        <f>DTDRpat_result0__2[[#This Row],[gap of angle (rad)2]]*10000</f>
        <v>1.4056683817849027</v>
      </c>
      <c r="J281">
        <v>1.4056683817849027E-4</v>
      </c>
      <c r="K281" t="s">
        <v>8</v>
      </c>
      <c r="M281" t="s">
        <v>6</v>
      </c>
      <c r="N281">
        <v>262.38212199993882</v>
      </c>
      <c r="O281">
        <f>DTDRpat_result0__3[[#This Row],[gap of angle (rad)2]]*10000</f>
        <v>1.1530960095546066</v>
      </c>
      <c r="P281">
        <v>1.1530960095546066E-4</v>
      </c>
    </row>
    <row r="282" spans="1:16" x14ac:dyDescent="0.3">
      <c r="A282" t="s">
        <v>6</v>
      </c>
      <c r="B282">
        <v>264.27354799993634</v>
      </c>
      <c r="C282">
        <f>DTDRpat_result0_1[[#This Row],[gap of angle (rad)2]]*10000</f>
        <v>1.5422867346501468</v>
      </c>
      <c r="D282">
        <v>1.5422867346501467E-4</v>
      </c>
      <c r="E282">
        <v>475.89993761839099</v>
      </c>
      <c r="G282" t="s">
        <v>6</v>
      </c>
      <c r="H282">
        <v>264.27354799993634</v>
      </c>
      <c r="I282">
        <f>DTDRpat_result0__2[[#This Row],[gap of angle (rad)2]]*10000</f>
        <v>1.4059499002295817</v>
      </c>
      <c r="J282">
        <v>1.4059499002295816E-4</v>
      </c>
      <c r="K282" t="s">
        <v>7</v>
      </c>
      <c r="M282" t="s">
        <v>6</v>
      </c>
      <c r="N282">
        <v>264.27354799993634</v>
      </c>
      <c r="O282">
        <f>DTDRpat_result0__3[[#This Row],[gap of angle (rad)2]]*10000</f>
        <v>1.1494383312783474</v>
      </c>
      <c r="P282">
        <v>1.1494383312783473E-4</v>
      </c>
    </row>
    <row r="283" spans="1:16" x14ac:dyDescent="0.3">
      <c r="A283" t="s">
        <v>6</v>
      </c>
      <c r="B283">
        <v>264.27354799993634</v>
      </c>
      <c r="C283">
        <f>DTDRpat_result0_1[[#This Row],[gap of angle (rad)2]]*10000</f>
        <v>1.5472938446749307</v>
      </c>
      <c r="D283">
        <v>1.5472938446749307E-4</v>
      </c>
      <c r="E283">
        <v>475.12970227719279</v>
      </c>
      <c r="G283" t="s">
        <v>6</v>
      </c>
      <c r="H283">
        <v>264.27354799993634</v>
      </c>
      <c r="I283">
        <f>DTDRpat_result0__2[[#This Row],[gap of angle (rad)2]]*10000</f>
        <v>1.4119890140524107</v>
      </c>
      <c r="J283">
        <v>1.4119890140524107E-4</v>
      </c>
      <c r="K283" t="s">
        <v>8</v>
      </c>
      <c r="M283" t="s">
        <v>6</v>
      </c>
      <c r="N283">
        <v>264.27354799993634</v>
      </c>
      <c r="O283">
        <f>DTDRpat_result0__3[[#This Row],[gap of angle (rad)2]]*10000</f>
        <v>1.1534341309838045</v>
      </c>
      <c r="P283">
        <v>1.1534341309838045E-4</v>
      </c>
    </row>
    <row r="284" spans="1:16" x14ac:dyDescent="0.3">
      <c r="A284" t="s">
        <v>6</v>
      </c>
      <c r="B284">
        <v>266.15871099993393</v>
      </c>
      <c r="C284">
        <f>DTDRpat_result0_1[[#This Row],[gap of angle (rad)2]]*10000</f>
        <v>1.5518223316072357</v>
      </c>
      <c r="D284">
        <v>1.5518223316072358E-4</v>
      </c>
      <c r="E284">
        <v>474.43638246816505</v>
      </c>
      <c r="G284" t="s">
        <v>6</v>
      </c>
      <c r="H284">
        <v>266.15871099993393</v>
      </c>
      <c r="I284">
        <f>DTDRpat_result0__2[[#This Row],[gap of angle (rad)2]]*10000</f>
        <v>1.4121761448808847</v>
      </c>
      <c r="J284">
        <v>1.4121761448808846E-4</v>
      </c>
      <c r="K284" t="s">
        <v>7</v>
      </c>
      <c r="M284" t="s">
        <v>6</v>
      </c>
      <c r="N284">
        <v>266.15871099993393</v>
      </c>
      <c r="O284">
        <f>DTDRpat_result0__3[[#This Row],[gap of angle (rad)2]]*10000</f>
        <v>1.1507932944346926</v>
      </c>
      <c r="P284">
        <v>1.1507932944346925E-4</v>
      </c>
    </row>
    <row r="285" spans="1:16" x14ac:dyDescent="0.3">
      <c r="A285" t="s">
        <v>6</v>
      </c>
      <c r="B285">
        <v>266.15871099993393</v>
      </c>
      <c r="C285">
        <f>DTDRpat_result0_1[[#This Row],[gap of angle (rad)2]]*10000</f>
        <v>1.5552326177328268</v>
      </c>
      <c r="D285">
        <v>1.5552326177328268E-4</v>
      </c>
      <c r="E285">
        <v>473.91634719786043</v>
      </c>
      <c r="G285" t="s">
        <v>6</v>
      </c>
      <c r="H285">
        <v>266.15871099993393</v>
      </c>
      <c r="I285">
        <f>DTDRpat_result0__2[[#This Row],[gap of angle (rad)2]]*10000</f>
        <v>1.41627356676237</v>
      </c>
      <c r="J285">
        <v>1.4162735667623701E-4</v>
      </c>
      <c r="K285" t="s">
        <v>8</v>
      </c>
      <c r="M285" t="s">
        <v>6</v>
      </c>
      <c r="N285">
        <v>266.15871099993393</v>
      </c>
      <c r="O285">
        <f>DTDRpat_result0__3[[#This Row],[gap of angle (rad)2]]*10000</f>
        <v>1.1534875505502307</v>
      </c>
      <c r="P285">
        <v>1.1534875505502307E-4</v>
      </c>
    </row>
    <row r="286" spans="1:16" x14ac:dyDescent="0.3">
      <c r="A286" t="s">
        <v>6</v>
      </c>
      <c r="B286">
        <v>268.04387399993152</v>
      </c>
      <c r="C286">
        <f>DTDRpat_result0_1[[#This Row],[gap of angle (rad)2]]*10000</f>
        <v>1.5580110107098952</v>
      </c>
      <c r="D286">
        <v>1.5580110107098953E-4</v>
      </c>
      <c r="E286">
        <v>473.49404377916267</v>
      </c>
      <c r="G286" t="s">
        <v>6</v>
      </c>
      <c r="H286">
        <v>268.04387399993152</v>
      </c>
      <c r="I286">
        <f>DTDRpat_result0__2[[#This Row],[gap of angle (rad)2]]*10000</f>
        <v>1.416387996498544</v>
      </c>
      <c r="J286">
        <v>1.4163879964985439E-4</v>
      </c>
      <c r="K286" t="s">
        <v>7</v>
      </c>
      <c r="M286" t="s">
        <v>6</v>
      </c>
      <c r="N286">
        <v>268.04387399993152</v>
      </c>
      <c r="O286">
        <f>DTDRpat_result0__3[[#This Row],[gap of angle (rad)2]]*10000</f>
        <v>1.1518803968205493</v>
      </c>
      <c r="P286">
        <v>1.1518803968205493E-4</v>
      </c>
    </row>
    <row r="287" spans="1:16" x14ac:dyDescent="0.3">
      <c r="A287" t="s">
        <v>6</v>
      </c>
      <c r="B287">
        <v>268.04387399993152</v>
      </c>
      <c r="C287">
        <f>DTDRpat_result0_1[[#This Row],[gap of angle (rad)2]]*10000</f>
        <v>1.5597649188262011</v>
      </c>
      <c r="D287">
        <v>1.5597649188262011E-4</v>
      </c>
      <c r="E287">
        <v>473.22817667990614</v>
      </c>
      <c r="G287" t="s">
        <v>6</v>
      </c>
      <c r="H287">
        <v>268.04387399993152</v>
      </c>
      <c r="I287">
        <f>DTDRpat_result0__2[[#This Row],[gap of angle (rad)2]]*10000</f>
        <v>1.4184903987398481</v>
      </c>
      <c r="J287">
        <v>1.418490398739848E-4</v>
      </c>
      <c r="K287" t="s">
        <v>8</v>
      </c>
      <c r="M287" t="s">
        <v>6</v>
      </c>
      <c r="N287">
        <v>268.04387399993152</v>
      </c>
      <c r="O287">
        <f>DTDRpat_result0__3[[#This Row],[gap of angle (rad)2]]*10000</f>
        <v>1.153257568933804</v>
      </c>
      <c r="P287">
        <v>1.1532575689338041E-4</v>
      </c>
    </row>
    <row r="288" spans="1:16" x14ac:dyDescent="0.3">
      <c r="A288" t="s">
        <v>6</v>
      </c>
      <c r="B288">
        <v>269.92903699992911</v>
      </c>
      <c r="C288">
        <f>DTDRpat_result0_1[[#This Row],[gap of angle (rad)2]]*10000</f>
        <v>1.5607443670847312</v>
      </c>
      <c r="D288">
        <v>1.5607443670847312E-4</v>
      </c>
      <c r="E288">
        <v>473.08012299116081</v>
      </c>
      <c r="G288" t="s">
        <v>6</v>
      </c>
      <c r="H288">
        <v>269.92903699992911</v>
      </c>
      <c r="I288">
        <f>DTDRpat_result0__2[[#This Row],[gap of angle (rad)2]]*10000</f>
        <v>1.4185306670166669</v>
      </c>
      <c r="J288">
        <v>1.4185306670166668E-4</v>
      </c>
      <c r="K288" t="s">
        <v>7</v>
      </c>
      <c r="M288" t="s">
        <v>6</v>
      </c>
      <c r="N288">
        <v>269.92903699992911</v>
      </c>
      <c r="O288">
        <f>DTDRpat_result0__3[[#This Row],[gap of angle (rad)2]]*10000</f>
        <v>1.1526933556423962</v>
      </c>
      <c r="P288">
        <v>1.1526933556423961E-4</v>
      </c>
    </row>
    <row r="289" spans="1:16" x14ac:dyDescent="0.3">
      <c r="A289" t="s">
        <v>6</v>
      </c>
      <c r="B289">
        <v>269.92903699992911</v>
      </c>
      <c r="C289">
        <f>DTDRpat_result0_1[[#This Row],[gap of angle (rad)2]]*10000</f>
        <v>1.5608109045976737</v>
      </c>
      <c r="D289">
        <v>1.5608109045976736E-4</v>
      </c>
      <c r="E289">
        <v>473.07046472575519</v>
      </c>
      <c r="G289" t="s">
        <v>6</v>
      </c>
      <c r="H289">
        <v>269.92903699992911</v>
      </c>
      <c r="I289">
        <f>DTDRpat_result0__2[[#This Row],[gap of angle (rad)2]]*10000</f>
        <v>1.4186103705715549</v>
      </c>
      <c r="J289">
        <v>1.4186103705715548E-4</v>
      </c>
      <c r="K289" t="s">
        <v>8</v>
      </c>
      <c r="M289" t="s">
        <v>6</v>
      </c>
      <c r="N289">
        <v>269.92903699992911</v>
      </c>
      <c r="O289">
        <f>DTDRpat_result0__3[[#This Row],[gap of angle (rad)2]]*10000</f>
        <v>1.1527454900744742</v>
      </c>
      <c r="P289">
        <v>1.1527454900744742E-4</v>
      </c>
    </row>
    <row r="290" spans="1:16" x14ac:dyDescent="0.3">
      <c r="A290" t="s">
        <v>6</v>
      </c>
      <c r="B290">
        <v>271.81419999992664</v>
      </c>
      <c r="C290">
        <f>DTDRpat_result0_1[[#This Row],[gap of angle (rad)2]]*10000</f>
        <v>1.5599740212094433</v>
      </c>
      <c r="D290">
        <v>1.5599740212094432E-4</v>
      </c>
      <c r="E290">
        <v>473.19779885548564</v>
      </c>
      <c r="G290" t="s">
        <v>6</v>
      </c>
      <c r="H290">
        <v>271.81419999992664</v>
      </c>
      <c r="I290">
        <f>DTDRpat_result0__2[[#This Row],[gap of angle (rad)2]]*10000</f>
        <v>1.4185759586571496</v>
      </c>
      <c r="J290">
        <v>1.4185759586571496E-4</v>
      </c>
      <c r="K290" t="s">
        <v>7</v>
      </c>
      <c r="M290" t="s">
        <v>6</v>
      </c>
      <c r="N290">
        <v>271.81419999992664</v>
      </c>
      <c r="O290">
        <f>DTDRpat_result0__3[[#This Row],[gap of angle (rad)2]]*10000</f>
        <v>1.1532275039092834</v>
      </c>
      <c r="P290">
        <v>1.1532275039092834E-4</v>
      </c>
    </row>
    <row r="291" spans="1:16" x14ac:dyDescent="0.3">
      <c r="A291" t="s">
        <v>6</v>
      </c>
      <c r="B291">
        <v>271.81419999992664</v>
      </c>
      <c r="C291">
        <f>DTDRpat_result0_1[[#This Row],[gap of angle (rad)2]]*10000</f>
        <v>1.5583520189535935</v>
      </c>
      <c r="D291">
        <v>1.5583520189535935E-4</v>
      </c>
      <c r="E291">
        <v>473.44442370940897</v>
      </c>
      <c r="G291" t="s">
        <v>6</v>
      </c>
      <c r="H291">
        <v>271.81419999992664</v>
      </c>
      <c r="I291">
        <f>DTDRpat_result0__2[[#This Row],[gap of angle (rad)2]]*10000</f>
        <v>1.4166319146632469</v>
      </c>
      <c r="J291">
        <v>1.4166319146632469E-4</v>
      </c>
      <c r="K291" t="s">
        <v>8</v>
      </c>
      <c r="M291" t="s">
        <v>6</v>
      </c>
      <c r="N291">
        <v>271.81419999992664</v>
      </c>
      <c r="O291">
        <f>DTDRpat_result0__3[[#This Row],[gap of angle (rad)2]]*10000</f>
        <v>1.1519542917053778</v>
      </c>
      <c r="P291">
        <v>1.1519542917053778E-4</v>
      </c>
    </row>
    <row r="292" spans="1:16" x14ac:dyDescent="0.3">
      <c r="A292" t="s">
        <v>6</v>
      </c>
      <c r="B292">
        <v>273.70562599992422</v>
      </c>
      <c r="C292">
        <f>DTDRpat_result0_1[[#This Row],[gap of angle (rad)2]]*10000</f>
        <v>1.5556937548389544</v>
      </c>
      <c r="D292">
        <v>1.5556937548389546E-4</v>
      </c>
      <c r="E292">
        <v>473.84920080518793</v>
      </c>
      <c r="G292" t="s">
        <v>6</v>
      </c>
      <c r="H292">
        <v>273.70562599992422</v>
      </c>
      <c r="I292">
        <f>DTDRpat_result0__2[[#This Row],[gap of angle (rad)2]]*10000</f>
        <v>1.4165129430863148</v>
      </c>
      <c r="J292">
        <v>1.4165129430863149E-4</v>
      </c>
      <c r="K292" t="s">
        <v>7</v>
      </c>
      <c r="M292" t="s">
        <v>6</v>
      </c>
      <c r="N292">
        <v>273.70562599992422</v>
      </c>
      <c r="O292">
        <f>DTDRpat_result0__3[[#This Row],[gap of angle (rad)2]]*10000</f>
        <v>1.1534801008348221</v>
      </c>
      <c r="P292">
        <v>1.1534801008348222E-4</v>
      </c>
    </row>
    <row r="293" spans="1:16" x14ac:dyDescent="0.3">
      <c r="A293" t="s">
        <v>6</v>
      </c>
      <c r="B293">
        <v>273.70562599992422</v>
      </c>
      <c r="C293">
        <f>DTDRpat_result0_1[[#This Row],[gap of angle (rad)2]]*10000</f>
        <v>1.5524064718828825</v>
      </c>
      <c r="D293">
        <v>1.5524064718828824E-4</v>
      </c>
      <c r="E293">
        <v>474.35105508822221</v>
      </c>
      <c r="G293" t="s">
        <v>6</v>
      </c>
      <c r="H293">
        <v>273.70562599992422</v>
      </c>
      <c r="I293">
        <f>DTDRpat_result0__2[[#This Row],[gap of angle (rad)2]]*10000</f>
        <v>1.4125641809001224</v>
      </c>
      <c r="J293">
        <v>1.4125641809001224E-4</v>
      </c>
      <c r="K293" t="s">
        <v>8</v>
      </c>
      <c r="M293" t="s">
        <v>6</v>
      </c>
      <c r="N293">
        <v>273.70562599992422</v>
      </c>
      <c r="O293">
        <f>DTDRpat_result0__3[[#This Row],[gap of angle (rad)2]]*10000</f>
        <v>1.150884555771158</v>
      </c>
      <c r="P293">
        <v>1.1508845557711581E-4</v>
      </c>
    </row>
    <row r="294" spans="1:16" x14ac:dyDescent="0.3">
      <c r="A294" t="s">
        <v>6</v>
      </c>
      <c r="B294">
        <v>275.59078899992181</v>
      </c>
      <c r="C294">
        <f>DTDRpat_result0_1[[#This Row],[gap of angle (rad)2]]*10000</f>
        <v>1.5480073527059588</v>
      </c>
      <c r="D294">
        <v>1.5480073527059587E-4</v>
      </c>
      <c r="E294">
        <v>475.02502369791824</v>
      </c>
      <c r="G294" t="s">
        <v>6</v>
      </c>
      <c r="H294">
        <v>275.59078899992181</v>
      </c>
      <c r="I294">
        <f>DTDRpat_result0__2[[#This Row],[gap of angle (rad)2]]*10000</f>
        <v>1.4123824781719438</v>
      </c>
      <c r="J294">
        <v>1.4123824781719438E-4</v>
      </c>
      <c r="K294" t="s">
        <v>7</v>
      </c>
      <c r="M294" t="s">
        <v>6</v>
      </c>
      <c r="N294">
        <v>275.59078899992181</v>
      </c>
      <c r="O294">
        <f>DTDRpat_result0__3[[#This Row],[gap of angle (rad)2]]*10000</f>
        <v>1.1534480106838216</v>
      </c>
      <c r="P294">
        <v>1.1534480106838217E-4</v>
      </c>
    </row>
    <row r="295" spans="1:16" x14ac:dyDescent="0.3">
      <c r="A295" t="s">
        <v>6</v>
      </c>
      <c r="B295">
        <v>275.59078899992181</v>
      </c>
      <c r="C295">
        <f>DTDRpat_result0_1[[#This Row],[gap of angle (rad)2]]*10000</f>
        <v>1.5431177706733259</v>
      </c>
      <c r="D295">
        <v>1.5431177706733259E-4</v>
      </c>
      <c r="E295">
        <v>475.77742656588123</v>
      </c>
      <c r="G295" t="s">
        <v>6</v>
      </c>
      <c r="H295">
        <v>275.59078899992181</v>
      </c>
      <c r="I295">
        <f>DTDRpat_result0__2[[#This Row],[gap of angle (rad)2]]*10000</f>
        <v>1.4064871141501092</v>
      </c>
      <c r="J295">
        <v>1.4064871141501091E-4</v>
      </c>
      <c r="K295" t="s">
        <v>8</v>
      </c>
      <c r="M295" t="s">
        <v>6</v>
      </c>
      <c r="N295">
        <v>275.59078899992181</v>
      </c>
      <c r="O295">
        <f>DTDRpat_result0__3[[#This Row],[gap of angle (rad)2]]*10000</f>
        <v>1.1495495183599984</v>
      </c>
      <c r="P295">
        <v>1.1495495183599984E-4</v>
      </c>
    </row>
    <row r="296" spans="1:16" x14ac:dyDescent="0.3">
      <c r="A296" t="s">
        <v>6</v>
      </c>
      <c r="B296">
        <v>277.4759519999194</v>
      </c>
      <c r="C296">
        <f>DTDRpat_result0_1[[#This Row],[gap of angle (rad)2]]*10000</f>
        <v>1.537040014664337</v>
      </c>
      <c r="D296">
        <v>1.537040014664337E-4</v>
      </c>
      <c r="E296">
        <v>476.7175893631557</v>
      </c>
      <c r="G296" t="s">
        <v>6</v>
      </c>
      <c r="H296">
        <v>277.4759519999194</v>
      </c>
      <c r="I296">
        <f>DTDRpat_result0__2[[#This Row],[gap of angle (rad)2]]*10000</f>
        <v>1.4062349545473944</v>
      </c>
      <c r="J296">
        <v>1.4062349545473945E-4</v>
      </c>
      <c r="K296" t="s">
        <v>7</v>
      </c>
      <c r="M296" t="s">
        <v>6</v>
      </c>
      <c r="N296">
        <v>277.4759519999194</v>
      </c>
      <c r="O296">
        <f>DTDRpat_result0__3[[#This Row],[gap of angle (rad)2]]*10000</f>
        <v>1.1531327405237111</v>
      </c>
      <c r="P296">
        <v>1.153132740523711E-4</v>
      </c>
    </row>
    <row r="297" spans="1:16" x14ac:dyDescent="0.3">
      <c r="A297" t="s">
        <v>6</v>
      </c>
      <c r="B297">
        <v>277.4759519999194</v>
      </c>
      <c r="C297">
        <f>DTDRpat_result0_1[[#This Row],[gap of angle (rad)2]]*10000</f>
        <v>1.5306318877651484</v>
      </c>
      <c r="D297">
        <v>1.5306318877651484E-4</v>
      </c>
      <c r="E297">
        <v>477.71485003912619</v>
      </c>
      <c r="G297" t="s">
        <v>6</v>
      </c>
      <c r="H297">
        <v>277.4759519999194</v>
      </c>
      <c r="I297">
        <f>DTDRpat_result0__2[[#This Row],[gap of angle (rad)2]]*10000</f>
        <v>1.3984687951244927</v>
      </c>
      <c r="J297">
        <v>1.3984687951244928E-4</v>
      </c>
      <c r="K297" t="s">
        <v>8</v>
      </c>
      <c r="M297" t="s">
        <v>6</v>
      </c>
      <c r="N297">
        <v>277.4759519999194</v>
      </c>
      <c r="O297">
        <f>DTDRpat_result0__3[[#This Row],[gap of angle (rad)2]]*10000</f>
        <v>1.1479536794784873</v>
      </c>
      <c r="P297">
        <v>1.1479536794784872E-4</v>
      </c>
    </row>
    <row r="298" spans="1:16" x14ac:dyDescent="0.3">
      <c r="A298" t="s">
        <v>6</v>
      </c>
      <c r="B298">
        <v>279.36111499991694</v>
      </c>
      <c r="C298">
        <f>DTDRpat_result0_1[[#This Row],[gap of angle (rad)2]]*10000</f>
        <v>1.5229781584189475</v>
      </c>
      <c r="D298">
        <v>1.5229781584189474E-4</v>
      </c>
      <c r="E298">
        <v>478.91413916436619</v>
      </c>
      <c r="G298" t="s">
        <v>6</v>
      </c>
      <c r="H298">
        <v>279.36111499991694</v>
      </c>
      <c r="I298">
        <f>DTDRpat_result0__2[[#This Row],[gap of angle (rad)2]]*10000</f>
        <v>1.3981493549957547</v>
      </c>
      <c r="J298">
        <v>1.3981493549957547E-4</v>
      </c>
      <c r="K298" t="s">
        <v>7</v>
      </c>
      <c r="M298" t="s">
        <v>6</v>
      </c>
      <c r="N298">
        <v>279.36111499991694</v>
      </c>
      <c r="O298">
        <f>DTDRpat_result0__3[[#This Row],[gap of angle (rad)2]]*10000</f>
        <v>1.1525361194028783</v>
      </c>
      <c r="P298">
        <v>1.1525361194028782E-4</v>
      </c>
    </row>
    <row r="299" spans="1:16" x14ac:dyDescent="0.3">
      <c r="A299" t="s">
        <v>6</v>
      </c>
      <c r="B299">
        <v>279.36111499991694</v>
      </c>
      <c r="C299">
        <f>DTDRpat_result0_1[[#This Row],[gap of angle (rad)2]]*10000</f>
        <v>1.5151581171902708</v>
      </c>
      <c r="D299">
        <v>1.5151581171902708E-4</v>
      </c>
      <c r="E299">
        <v>480.14881230928717</v>
      </c>
      <c r="G299" t="s">
        <v>6</v>
      </c>
      <c r="H299">
        <v>279.36111499991694</v>
      </c>
      <c r="I299">
        <f>DTDRpat_result0__2[[#This Row],[gap of angle (rad)2]]*10000</f>
        <v>1.3886101185039559</v>
      </c>
      <c r="J299">
        <v>1.3886101185039558E-4</v>
      </c>
      <c r="K299" t="s">
        <v>8</v>
      </c>
      <c r="M299" t="s">
        <v>6</v>
      </c>
      <c r="N299">
        <v>279.36111499991694</v>
      </c>
      <c r="O299">
        <f>DTDRpat_result0__3[[#This Row],[gap of angle (rad)2]]*10000</f>
        <v>1.1461061500615968</v>
      </c>
      <c r="P299">
        <v>1.1461061500615968E-4</v>
      </c>
    </row>
    <row r="300" spans="1:16" x14ac:dyDescent="0.3">
      <c r="A300" t="s">
        <v>6</v>
      </c>
      <c r="B300">
        <v>281.24627799991453</v>
      </c>
      <c r="C300">
        <f>DTDRpat_result0_1[[#This Row],[gap of angle (rad)2]]*10000</f>
        <v>1.5060535444444723</v>
      </c>
      <c r="D300">
        <v>1.5060535444444723E-4</v>
      </c>
      <c r="E300">
        <v>481.59834393573021</v>
      </c>
      <c r="G300" t="s">
        <v>6</v>
      </c>
      <c r="H300">
        <v>281.24627799991453</v>
      </c>
      <c r="I300">
        <f>DTDRpat_result0__2[[#This Row],[gap of angle (rad)2]]*10000</f>
        <v>1.3882274389819438</v>
      </c>
      <c r="J300">
        <v>1.3882274389819438E-4</v>
      </c>
      <c r="K300" t="s">
        <v>7</v>
      </c>
      <c r="M300" t="s">
        <v>6</v>
      </c>
      <c r="N300">
        <v>281.24627799991453</v>
      </c>
      <c r="O300">
        <f>DTDRpat_result0__3[[#This Row],[gap of angle (rad)2]]*10000</f>
        <v>1.151661614337542</v>
      </c>
      <c r="P300">
        <v>1.1516616143375421E-4</v>
      </c>
    </row>
    <row r="301" spans="1:16" x14ac:dyDescent="0.3">
      <c r="A301" t="s">
        <v>6</v>
      </c>
      <c r="B301">
        <v>281.24627799991453</v>
      </c>
      <c r="C301">
        <f>DTDRpat_result0_1[[#This Row],[gap of angle (rad)2]]*10000</f>
        <v>1.4969469962217619</v>
      </c>
      <c r="D301">
        <v>1.4969469962217619E-4</v>
      </c>
      <c r="E301">
        <v>483.06136231561521</v>
      </c>
      <c r="G301" t="s">
        <v>6</v>
      </c>
      <c r="H301">
        <v>281.24627799991453</v>
      </c>
      <c r="I301">
        <f>DTDRpat_result0__2[[#This Row],[gap of angle (rad)2]]*10000</f>
        <v>1.3770321497845766</v>
      </c>
      <c r="J301">
        <v>1.3770321497845765E-4</v>
      </c>
      <c r="K301" t="s">
        <v>8</v>
      </c>
      <c r="M301" t="s">
        <v>6</v>
      </c>
      <c r="N301">
        <v>281.24627799991453</v>
      </c>
      <c r="O301">
        <f>DTDRpat_result0__3[[#This Row],[gap of angle (rad)2]]*10000</f>
        <v>1.1440172883420932</v>
      </c>
      <c r="P301">
        <v>1.1440172883420933E-4</v>
      </c>
    </row>
    <row r="302" spans="1:16" x14ac:dyDescent="0.3">
      <c r="A302" t="s">
        <v>6</v>
      </c>
      <c r="B302">
        <v>283.13770399991211</v>
      </c>
      <c r="C302">
        <f>DTDRpat_result0_1[[#This Row],[gap of angle (rad)2]]*10000</f>
        <v>1.4864656630242357</v>
      </c>
      <c r="D302">
        <v>1.4864656630242357E-4</v>
      </c>
      <c r="E302">
        <v>484.76182016134311</v>
      </c>
      <c r="G302" t="s">
        <v>6</v>
      </c>
      <c r="H302">
        <v>283.13770399991211</v>
      </c>
      <c r="I302">
        <f>DTDRpat_result0__2[[#This Row],[gap of angle (rad)2]]*10000</f>
        <v>1.3765494721020504</v>
      </c>
      <c r="J302">
        <v>1.3765494721020504E-4</v>
      </c>
      <c r="K302" t="s">
        <v>7</v>
      </c>
      <c r="M302" t="s">
        <v>6</v>
      </c>
      <c r="N302">
        <v>283.13770399991211</v>
      </c>
      <c r="O302">
        <f>DTDRpat_result0__3[[#This Row],[gap of angle (rad)2]]*10000</f>
        <v>1.1505099522940214</v>
      </c>
      <c r="P302">
        <v>1.1505099522940214E-4</v>
      </c>
    </row>
    <row r="303" spans="1:16" x14ac:dyDescent="0.3">
      <c r="A303" t="s">
        <v>6</v>
      </c>
      <c r="B303">
        <v>283.13770399991211</v>
      </c>
      <c r="C303">
        <f>DTDRpat_result0_1[[#This Row],[gap of angle (rad)2]]*10000</f>
        <v>1.4762086151205382</v>
      </c>
      <c r="D303">
        <v>1.4762086151205383E-4</v>
      </c>
      <c r="E303">
        <v>486.44335421512255</v>
      </c>
      <c r="G303" t="s">
        <v>6</v>
      </c>
      <c r="H303">
        <v>283.13770399991211</v>
      </c>
      <c r="I303">
        <f>DTDRpat_result0__2[[#This Row],[gap of angle (rad)2]]*10000</f>
        <v>1.3638263677025209</v>
      </c>
      <c r="J303">
        <v>1.3638263677025208E-4</v>
      </c>
      <c r="K303" t="s">
        <v>8</v>
      </c>
      <c r="M303" t="s">
        <v>6</v>
      </c>
      <c r="N303">
        <v>283.13770399991211</v>
      </c>
      <c r="O303">
        <f>DTDRpat_result0__3[[#This Row],[gap of angle (rad)2]]*10000</f>
        <v>1.1416906999443619</v>
      </c>
      <c r="P303">
        <v>1.1416906999443619E-4</v>
      </c>
    </row>
    <row r="304" spans="1:16" x14ac:dyDescent="0.3">
      <c r="A304" t="s">
        <v>6</v>
      </c>
      <c r="B304">
        <v>285.01660399990971</v>
      </c>
      <c r="C304">
        <f>DTDRpat_result0_1[[#This Row],[gap of angle (rad)2]]*10000</f>
        <v>1.4647162637082516</v>
      </c>
      <c r="D304">
        <v>1.4647162637082515E-4</v>
      </c>
      <c r="E304">
        <v>488.34831941750372</v>
      </c>
      <c r="G304" t="s">
        <v>6</v>
      </c>
      <c r="H304">
        <v>285.01660399990971</v>
      </c>
      <c r="I304">
        <f>DTDRpat_result0__2[[#This Row],[gap of angle (rad)2]]*10000</f>
        <v>1.3633777441557651</v>
      </c>
      <c r="J304">
        <v>1.363377744155765E-4</v>
      </c>
      <c r="K304" t="s">
        <v>7</v>
      </c>
      <c r="M304" t="s">
        <v>6</v>
      </c>
      <c r="N304">
        <v>285.01660399990971</v>
      </c>
      <c r="O304">
        <f>DTDRpat_result0__3[[#This Row],[gap of angle (rad)2]]*10000</f>
        <v>1.1491005219872106</v>
      </c>
      <c r="P304">
        <v>1.1491005219872106E-4</v>
      </c>
    </row>
    <row r="305" spans="1:16" x14ac:dyDescent="0.3">
      <c r="A305" t="s">
        <v>6</v>
      </c>
      <c r="B305">
        <v>285.01660399990971</v>
      </c>
      <c r="C305">
        <f>DTDRpat_result0_1[[#This Row],[gap of angle (rad)2]]*10000</f>
        <v>1.4534650158969107</v>
      </c>
      <c r="D305">
        <v>1.4534650158969106E-4</v>
      </c>
      <c r="E305">
        <v>490.23513011911439</v>
      </c>
      <c r="G305" t="s">
        <v>6</v>
      </c>
      <c r="H305">
        <v>285.01660399990971</v>
      </c>
      <c r="I305">
        <f>DTDRpat_result0__2[[#This Row],[gap of angle (rad)2]]*10000</f>
        <v>1.3492821356081697</v>
      </c>
      <c r="J305">
        <v>1.3492821356081696E-4</v>
      </c>
      <c r="K305" t="s">
        <v>8</v>
      </c>
      <c r="M305" t="s">
        <v>6</v>
      </c>
      <c r="N305">
        <v>285.01660399990971</v>
      </c>
      <c r="O305">
        <f>DTDRpat_result0__3[[#This Row],[gap of angle (rad)2]]*10000</f>
        <v>1.1391634059083866</v>
      </c>
      <c r="P305">
        <v>1.1391634059083865E-4</v>
      </c>
    </row>
    <row r="306" spans="1:16" x14ac:dyDescent="0.3">
      <c r="A306" t="s">
        <v>6</v>
      </c>
      <c r="B306">
        <v>286.90802999990723</v>
      </c>
      <c r="C306">
        <f>DTDRpat_result0_1[[#This Row],[gap of angle (rad)2]]*10000</f>
        <v>1.440829208017619</v>
      </c>
      <c r="D306">
        <v>1.440829208017619E-4</v>
      </c>
      <c r="E306">
        <v>492.3803920613139</v>
      </c>
      <c r="G306" t="s">
        <v>6</v>
      </c>
      <c r="H306">
        <v>286.90802999990723</v>
      </c>
      <c r="I306">
        <f>DTDRpat_result0__2[[#This Row],[gap of angle (rad)2]]*10000</f>
        <v>1.3486885507625266</v>
      </c>
      <c r="J306">
        <v>1.3486885507625265E-4</v>
      </c>
      <c r="K306" t="s">
        <v>7</v>
      </c>
      <c r="M306" t="s">
        <v>6</v>
      </c>
      <c r="N306">
        <v>286.90802999990723</v>
      </c>
      <c r="O306">
        <f>DTDRpat_result0__3[[#This Row],[gap of angle (rad)2]]*10000</f>
        <v>1.1474226494046496</v>
      </c>
      <c r="P306">
        <v>1.1474226494046496E-4</v>
      </c>
    </row>
    <row r="307" spans="1:16" x14ac:dyDescent="0.3">
      <c r="A307" t="s">
        <v>6</v>
      </c>
      <c r="B307">
        <v>286.90802999990723</v>
      </c>
      <c r="C307">
        <f>DTDRpat_result0_1[[#This Row],[gap of angle (rad)2]]*10000</f>
        <v>1.4287316122899656</v>
      </c>
      <c r="D307">
        <v>1.4287316122899656E-4</v>
      </c>
      <c r="E307">
        <v>494.46085812122863</v>
      </c>
      <c r="G307" t="s">
        <v>6</v>
      </c>
      <c r="H307">
        <v>286.90802999990723</v>
      </c>
      <c r="I307">
        <f>DTDRpat_result0__2[[#This Row],[gap of angle (rad)2]]*10000</f>
        <v>1.3333664043283937</v>
      </c>
      <c r="J307">
        <v>1.3333664043283937E-4</v>
      </c>
      <c r="K307" t="s">
        <v>8</v>
      </c>
      <c r="M307" t="s">
        <v>6</v>
      </c>
      <c r="N307">
        <v>286.90802999990723</v>
      </c>
      <c r="O307">
        <f>DTDRpat_result0__3[[#This Row],[gap of angle (rad)2]]*10000</f>
        <v>1.1364156127331648</v>
      </c>
      <c r="P307">
        <v>1.1364156127331648E-4</v>
      </c>
    </row>
    <row r="308" spans="1:16" x14ac:dyDescent="0.3">
      <c r="A308" t="s">
        <v>6</v>
      </c>
      <c r="B308">
        <v>288.79319299990482</v>
      </c>
      <c r="C308">
        <f>DTDRpat_result0_1[[#This Row],[gap of angle (rad)2]]*10000</f>
        <v>1.4153526030053751</v>
      </c>
      <c r="D308">
        <v>1.4153526030053751E-4</v>
      </c>
      <c r="E308">
        <v>496.79266185131678</v>
      </c>
      <c r="G308" t="s">
        <v>6</v>
      </c>
      <c r="H308">
        <v>288.79319299990482</v>
      </c>
      <c r="I308">
        <f>DTDRpat_result0__2[[#This Row],[gap of angle (rad)2]]*10000</f>
        <v>1.3327814083611371</v>
      </c>
      <c r="J308">
        <v>1.3327814083611371E-4</v>
      </c>
      <c r="K308" t="s">
        <v>7</v>
      </c>
      <c r="M308" t="s">
        <v>6</v>
      </c>
      <c r="N308">
        <v>288.79319299990482</v>
      </c>
      <c r="O308">
        <f>DTDRpat_result0__3[[#This Row],[gap of angle (rad)2]]*10000</f>
        <v>1.1455011976945257</v>
      </c>
      <c r="P308">
        <v>1.1455011976945258E-4</v>
      </c>
    </row>
    <row r="309" spans="1:16" x14ac:dyDescent="0.3">
      <c r="A309" t="s">
        <v>6</v>
      </c>
      <c r="B309">
        <v>288.79319299990482</v>
      </c>
      <c r="C309">
        <f>DTDRpat_result0_1[[#This Row],[gap of angle (rad)2]]*10000</f>
        <v>1.402566326835142</v>
      </c>
      <c r="D309">
        <v>1.402566326835142E-4</v>
      </c>
      <c r="E309">
        <v>499.05224299966488</v>
      </c>
      <c r="G309" t="s">
        <v>6</v>
      </c>
      <c r="H309">
        <v>288.79319299990482</v>
      </c>
      <c r="I309">
        <f>DTDRpat_result0__2[[#This Row],[gap of angle (rad)2]]*10000</f>
        <v>1.3163972476111294</v>
      </c>
      <c r="J309">
        <v>1.3163972476111293E-4</v>
      </c>
      <c r="K309" t="s">
        <v>8</v>
      </c>
      <c r="M309" t="s">
        <v>6</v>
      </c>
      <c r="N309">
        <v>288.79319299990482</v>
      </c>
      <c r="O309">
        <f>DTDRpat_result0__3[[#This Row],[gap of angle (rad)2]]*10000</f>
        <v>1.1334884226564088</v>
      </c>
      <c r="P309">
        <v>1.1334884226564089E-4</v>
      </c>
    </row>
    <row r="310" spans="1:16" x14ac:dyDescent="0.3">
      <c r="A310" t="s">
        <v>6</v>
      </c>
      <c r="B310">
        <v>290.67835599990241</v>
      </c>
      <c r="C310">
        <f>DTDRpat_result0_1[[#This Row],[gap of angle (rad)2]]*10000</f>
        <v>1.3885297643129237</v>
      </c>
      <c r="D310">
        <v>1.3885297643129237E-4</v>
      </c>
      <c r="E310">
        <v>501.56859586423656</v>
      </c>
      <c r="G310" t="s">
        <v>6</v>
      </c>
      <c r="H310">
        <v>290.67835599990241</v>
      </c>
      <c r="I310">
        <f>DTDRpat_result0__2[[#This Row],[gap of angle (rad)2]]*10000</f>
        <v>1.3157760951142077</v>
      </c>
      <c r="J310">
        <v>1.3157760951142076E-4</v>
      </c>
      <c r="K310" t="s">
        <v>7</v>
      </c>
      <c r="M310" t="s">
        <v>6</v>
      </c>
      <c r="N310">
        <v>290.67835599990241</v>
      </c>
      <c r="O310">
        <f>DTDRpat_result0__3[[#This Row],[gap of angle (rad)2]]*10000</f>
        <v>1.1433417943199913</v>
      </c>
      <c r="P310">
        <v>1.1433417943199912E-4</v>
      </c>
    </row>
    <row r="311" spans="1:16" x14ac:dyDescent="0.3">
      <c r="A311" t="s">
        <v>6</v>
      </c>
      <c r="B311">
        <v>290.67835599990241</v>
      </c>
      <c r="C311">
        <f>DTDRpat_result0_1[[#This Row],[gap of angle (rad)2]]*10000</f>
        <v>1.375206152390354</v>
      </c>
      <c r="D311">
        <v>1.3752061523903542E-4</v>
      </c>
      <c r="E311">
        <v>503.99266959626192</v>
      </c>
      <c r="G311" t="s">
        <v>6</v>
      </c>
      <c r="H311">
        <v>290.67835599990241</v>
      </c>
      <c r="I311">
        <f>DTDRpat_result0__2[[#This Row],[gap of angle (rad)2]]*10000</f>
        <v>1.298492146408263</v>
      </c>
      <c r="J311">
        <v>1.2984921464082629E-4</v>
      </c>
      <c r="K311" t="s">
        <v>8</v>
      </c>
      <c r="M311" t="s">
        <v>6</v>
      </c>
      <c r="N311">
        <v>290.67835599990241</v>
      </c>
      <c r="O311">
        <f>DTDRpat_result0__3[[#This Row],[gap of angle (rad)2]]*10000</f>
        <v>1.1303886234272245</v>
      </c>
      <c r="P311">
        <v>1.1303886234272246E-4</v>
      </c>
    </row>
    <row r="312" spans="1:16" x14ac:dyDescent="0.3">
      <c r="A312" t="s">
        <v>6</v>
      </c>
      <c r="B312">
        <v>292.55725599990001</v>
      </c>
      <c r="C312">
        <f>DTDRpat_result0_1[[#This Row],[gap of angle (rad)2]]*10000</f>
        <v>1.3607655316576561</v>
      </c>
      <c r="D312">
        <v>1.3607655316576561E-4</v>
      </c>
      <c r="E312">
        <v>506.66005387118599</v>
      </c>
      <c r="G312" t="s">
        <v>6</v>
      </c>
      <c r="H312">
        <v>292.55725599990001</v>
      </c>
      <c r="I312">
        <f>DTDRpat_result0__2[[#This Row],[gap of angle (rad)2]]*10000</f>
        <v>1.2979018163099842</v>
      </c>
      <c r="J312">
        <v>1.2979018163099842E-4</v>
      </c>
      <c r="K312" t="s">
        <v>7</v>
      </c>
      <c r="M312" t="s">
        <v>6</v>
      </c>
      <c r="N312">
        <v>292.55725599990001</v>
      </c>
      <c r="O312">
        <f>DTDRpat_result0__3[[#This Row],[gap of angle (rad)2]]*10000</f>
        <v>1.140964777838096</v>
      </c>
      <c r="P312">
        <v>1.140964777838096E-4</v>
      </c>
    </row>
    <row r="313" spans="1:16" x14ac:dyDescent="0.3">
      <c r="A313" t="s">
        <v>6</v>
      </c>
      <c r="B313">
        <v>292.55725599990001</v>
      </c>
      <c r="C313">
        <f>DTDRpat_result0_1[[#This Row],[gap of angle (rad)2]]*10000</f>
        <v>1.3470507063235759</v>
      </c>
      <c r="D313">
        <v>1.3470507063235759E-4</v>
      </c>
      <c r="E313">
        <v>509.23295909231535</v>
      </c>
      <c r="G313" t="s">
        <v>6</v>
      </c>
      <c r="H313">
        <v>292.55725599990001</v>
      </c>
      <c r="I313">
        <f>DTDRpat_result0__2[[#This Row],[gap of angle (rad)2]]*10000</f>
        <v>1.2798817020557858</v>
      </c>
      <c r="J313">
        <v>1.2798817020557858E-4</v>
      </c>
      <c r="K313" t="s">
        <v>8</v>
      </c>
      <c r="M313" t="s">
        <v>6</v>
      </c>
      <c r="N313">
        <v>292.55725599990001</v>
      </c>
      <c r="O313">
        <f>DTDRpat_result0__3[[#This Row],[gap of angle (rad)2]]*10000</f>
        <v>1.1271435036848352</v>
      </c>
      <c r="P313">
        <v>1.1271435036848353E-4</v>
      </c>
    </row>
    <row r="314" spans="1:16" x14ac:dyDescent="0.3">
      <c r="A314" t="s">
        <v>6</v>
      </c>
      <c r="B314">
        <v>294.44868199989753</v>
      </c>
      <c r="C314">
        <f>DTDRpat_result0_1[[#This Row],[gap of angle (rad)2]]*10000</f>
        <v>1.3320743684090723</v>
      </c>
      <c r="D314">
        <v>1.3320743684090724E-4</v>
      </c>
      <c r="E314">
        <v>512.08776824328572</v>
      </c>
      <c r="G314" t="s">
        <v>6</v>
      </c>
      <c r="H314">
        <v>294.44868199989753</v>
      </c>
      <c r="I314">
        <f>DTDRpat_result0__2[[#This Row],[gap of angle (rad)2]]*10000</f>
        <v>1.2791430008847677</v>
      </c>
      <c r="J314">
        <v>1.2791430008847677E-4</v>
      </c>
      <c r="K314" t="s">
        <v>7</v>
      </c>
      <c r="M314" t="s">
        <v>6</v>
      </c>
      <c r="N314">
        <v>294.44868199989753</v>
      </c>
      <c r="O314">
        <f>DTDRpat_result0__3[[#This Row],[gap of angle (rad)2]]*10000</f>
        <v>1.1383584178381114</v>
      </c>
      <c r="P314">
        <v>1.1383584178381114E-4</v>
      </c>
    </row>
    <row r="315" spans="1:16" x14ac:dyDescent="0.3">
      <c r="A315" t="s">
        <v>6</v>
      </c>
      <c r="B315">
        <v>294.44868199989753</v>
      </c>
      <c r="C315">
        <f>DTDRpat_result0_1[[#This Row],[gap of angle (rad)2]]*10000</f>
        <v>1.3181024189156274</v>
      </c>
      <c r="D315">
        <v>1.3181024189156274E-4</v>
      </c>
      <c r="E315">
        <v>514.79485430667296</v>
      </c>
      <c r="G315" t="s">
        <v>6</v>
      </c>
      <c r="H315">
        <v>294.44868199989753</v>
      </c>
      <c r="I315">
        <f>DTDRpat_result0__2[[#This Row],[gap of angle (rad)2]]*10000</f>
        <v>1.2605402139733404</v>
      </c>
      <c r="J315">
        <v>1.2605402139733403E-4</v>
      </c>
      <c r="K315" t="s">
        <v>8</v>
      </c>
      <c r="M315" t="s">
        <v>6</v>
      </c>
      <c r="N315">
        <v>294.44868199989753</v>
      </c>
      <c r="O315">
        <f>DTDRpat_result0__3[[#This Row],[gap of angle (rad)2]]*10000</f>
        <v>1.1237367577321726</v>
      </c>
      <c r="P315">
        <v>1.1237367577321725E-4</v>
      </c>
    </row>
    <row r="316" spans="1:16" x14ac:dyDescent="0.3">
      <c r="A316" t="s">
        <v>6</v>
      </c>
      <c r="B316">
        <v>296.33384499989512</v>
      </c>
      <c r="C316">
        <f>DTDRpat_result0_1[[#This Row],[gap of angle (rad)2]]*10000</f>
        <v>1.3030150412686112</v>
      </c>
      <c r="D316">
        <v>1.3030150412686112E-4</v>
      </c>
      <c r="E316">
        <v>517.76678623301029</v>
      </c>
      <c r="G316" t="s">
        <v>6</v>
      </c>
      <c r="H316">
        <v>296.33384499989512</v>
      </c>
      <c r="I316">
        <f>DTDRpat_result0__2[[#This Row],[gap of angle (rad)2]]*10000</f>
        <v>1.2598460873462203</v>
      </c>
      <c r="J316">
        <v>1.2598460873462203E-4</v>
      </c>
      <c r="K316" t="s">
        <v>7</v>
      </c>
      <c r="M316" t="s">
        <v>6</v>
      </c>
      <c r="N316">
        <v>296.33384499989512</v>
      </c>
      <c r="O316">
        <f>DTDRpat_result0__3[[#This Row],[gap of angle (rad)2]]*10000</f>
        <v>1.1355617097883193</v>
      </c>
      <c r="P316">
        <v>1.1355617097883192E-4</v>
      </c>
    </row>
    <row r="317" spans="1:16" x14ac:dyDescent="0.3">
      <c r="A317" t="s">
        <v>6</v>
      </c>
      <c r="B317">
        <v>296.33384499989512</v>
      </c>
      <c r="C317">
        <f>DTDRpat_result0_1[[#This Row],[gap of angle (rad)2]]*10000</f>
        <v>1.288912596377594</v>
      </c>
      <c r="D317">
        <v>1.2889125963775941E-4</v>
      </c>
      <c r="E317">
        <v>520.5917455580983</v>
      </c>
      <c r="G317" t="s">
        <v>6</v>
      </c>
      <c r="H317">
        <v>296.33384499989512</v>
      </c>
      <c r="I317">
        <f>DTDRpat_result0__2[[#This Row],[gap of angle (rad)2]]*10000</f>
        <v>1.2408148080648103</v>
      </c>
      <c r="J317">
        <v>1.2408148080648103E-4</v>
      </c>
      <c r="K317" t="s">
        <v>8</v>
      </c>
      <c r="M317" t="s">
        <v>6</v>
      </c>
      <c r="N317">
        <v>296.33384499989512</v>
      </c>
      <c r="O317">
        <f>DTDRpat_result0__3[[#This Row],[gap of angle (rad)2]]*10000</f>
        <v>1.1202187355317419</v>
      </c>
      <c r="P317">
        <v>1.1202187355317419E-4</v>
      </c>
    </row>
    <row r="318" spans="1:16" x14ac:dyDescent="0.3">
      <c r="A318" t="s">
        <v>6</v>
      </c>
      <c r="B318">
        <v>298.21900799989271</v>
      </c>
      <c r="C318">
        <f>DTDRpat_result0_1[[#This Row],[gap of angle (rad)2]]*10000</f>
        <v>1.2737478255362595</v>
      </c>
      <c r="D318">
        <v>1.2737478255362596E-4</v>
      </c>
      <c r="E318">
        <v>523.68168229592379</v>
      </c>
      <c r="G318" t="s">
        <v>6</v>
      </c>
      <c r="H318">
        <v>298.21900799989271</v>
      </c>
      <c r="I318">
        <f>DTDRpat_result0__2[[#This Row],[gap of angle (rad)2]]*10000</f>
        <v>1.2401075904328689</v>
      </c>
      <c r="J318">
        <v>1.2401075904328688E-4</v>
      </c>
      <c r="K318" t="s">
        <v>7</v>
      </c>
      <c r="M318" t="s">
        <v>6</v>
      </c>
      <c r="N318">
        <v>298.21900799989271</v>
      </c>
      <c r="O318">
        <f>DTDRpat_result0__3[[#This Row],[gap of angle (rad)2]]*10000</f>
        <v>1.1325813699634941</v>
      </c>
      <c r="P318">
        <v>1.1325813699634941E-4</v>
      </c>
    </row>
    <row r="319" spans="1:16" x14ac:dyDescent="0.3">
      <c r="A319" t="s">
        <v>6</v>
      </c>
      <c r="B319">
        <v>298.21900799989271</v>
      </c>
      <c r="C319">
        <f>DTDRpat_result0_1[[#This Row],[gap of angle (rad)2]]*10000</f>
        <v>1.2596286762233708</v>
      </c>
      <c r="D319">
        <v>1.2596286762233709E-4</v>
      </c>
      <c r="E319">
        <v>526.6085724276046</v>
      </c>
      <c r="G319" t="s">
        <v>6</v>
      </c>
      <c r="H319">
        <v>298.21900799989271</v>
      </c>
      <c r="I319">
        <f>DTDRpat_result0__2[[#This Row],[gap of angle (rad)2]]*10000</f>
        <v>1.2207920892880222</v>
      </c>
      <c r="J319">
        <v>1.2207920892880222E-4</v>
      </c>
      <c r="K319" t="s">
        <v>8</v>
      </c>
      <c r="M319" t="s">
        <v>6</v>
      </c>
      <c r="N319">
        <v>298.21900799989271</v>
      </c>
      <c r="O319">
        <f>DTDRpat_result0__3[[#This Row],[gap of angle (rad)2]]*10000</f>
        <v>1.11659602148601</v>
      </c>
      <c r="P319">
        <v>1.1165960214860101E-4</v>
      </c>
    </row>
    <row r="320" spans="1:16" x14ac:dyDescent="0.3">
      <c r="A320" t="s">
        <v>6</v>
      </c>
      <c r="B320">
        <v>300.1041709998903</v>
      </c>
      <c r="C320">
        <f>DTDRpat_result0_1[[#This Row],[gap of angle (rad)2]]*10000</f>
        <v>1.2445020832587141</v>
      </c>
      <c r="D320">
        <v>1.2445020832587141E-4</v>
      </c>
      <c r="E320">
        <v>529.79939201198295</v>
      </c>
      <c r="G320" t="s">
        <v>6</v>
      </c>
      <c r="H320">
        <v>300.1041709998903</v>
      </c>
      <c r="I320">
        <f>DTDRpat_result0__2[[#This Row],[gap of angle (rad)2]]*10000</f>
        <v>1.2200769690556843</v>
      </c>
      <c r="J320">
        <v>1.2200769690556842E-4</v>
      </c>
      <c r="K320" t="s">
        <v>7</v>
      </c>
      <c r="M320" t="s">
        <v>6</v>
      </c>
      <c r="N320">
        <v>300.1041709998903</v>
      </c>
      <c r="O320">
        <f>DTDRpat_result0__3[[#This Row],[gap of angle (rad)2]]*10000</f>
        <v>1.1294332061032439</v>
      </c>
      <c r="P320">
        <v>1.1294332061032439E-4</v>
      </c>
    </row>
    <row r="321" spans="1:16" x14ac:dyDescent="0.3">
      <c r="A321" t="s">
        <v>6</v>
      </c>
      <c r="B321">
        <v>300.1041709998903</v>
      </c>
      <c r="C321">
        <f>DTDRpat_result0_1[[#This Row],[gap of angle (rad)2]]*10000</f>
        <v>1.2304676157904324</v>
      </c>
      <c r="D321">
        <v>1.2304676157904324E-4</v>
      </c>
      <c r="E321">
        <v>532.81229038558945</v>
      </c>
      <c r="G321" t="s">
        <v>6</v>
      </c>
      <c r="H321">
        <v>300.1041709998903</v>
      </c>
      <c r="I321">
        <f>DTDRpat_result0__2[[#This Row],[gap of angle (rad)2]]*10000</f>
        <v>1.2006124688721727</v>
      </c>
      <c r="J321">
        <v>1.2006124688721727E-4</v>
      </c>
      <c r="K321" t="s">
        <v>8</v>
      </c>
      <c r="M321" t="s">
        <v>6</v>
      </c>
      <c r="N321">
        <v>300.1041709998903</v>
      </c>
      <c r="O321">
        <f>DTDRpat_result0__3[[#This Row],[gap of angle (rad)2]]*10000</f>
        <v>1.1128863683050989</v>
      </c>
      <c r="P321">
        <v>1.1128863683050988E-4</v>
      </c>
    </row>
    <row r="322" spans="1:16" x14ac:dyDescent="0.3">
      <c r="A322" t="s">
        <v>6</v>
      </c>
      <c r="B322">
        <v>301.99559699988788</v>
      </c>
      <c r="C322">
        <f>DTDRpat_result0_1[[#This Row],[gap of angle (rad)2]]*10000</f>
        <v>1.2153854784865972</v>
      </c>
      <c r="D322">
        <v>1.2153854784865971E-4</v>
      </c>
      <c r="E322">
        <v>536.10808860204145</v>
      </c>
      <c r="G322" t="s">
        <v>6</v>
      </c>
      <c r="H322">
        <v>301.99559699988788</v>
      </c>
      <c r="I322">
        <f>DTDRpat_result0__2[[#This Row],[gap of angle (rad)2]]*10000</f>
        <v>1.1998271021683136</v>
      </c>
      <c r="J322">
        <v>1.1998271021683135E-4</v>
      </c>
      <c r="K322" t="s">
        <v>7</v>
      </c>
      <c r="M322" t="s">
        <v>6</v>
      </c>
      <c r="N322">
        <v>301.99559699988788</v>
      </c>
      <c r="O322">
        <f>DTDRpat_result0__3[[#This Row],[gap of angle (rad)2]]*10000</f>
        <v>1.1261224555635985</v>
      </c>
      <c r="P322">
        <v>1.1261224555635984E-4</v>
      </c>
    </row>
    <row r="323" spans="1:16" x14ac:dyDescent="0.3">
      <c r="A323" t="s">
        <v>6</v>
      </c>
      <c r="B323">
        <v>301.99559699988788</v>
      </c>
      <c r="C323">
        <f>DTDRpat_result0_1[[#This Row],[gap of angle (rad)2]]*10000</f>
        <v>1.2015252491216566</v>
      </c>
      <c r="D323">
        <v>1.2015252491216565E-4</v>
      </c>
      <c r="E323">
        <v>539.19140922907104</v>
      </c>
      <c r="G323" t="s">
        <v>6</v>
      </c>
      <c r="H323">
        <v>301.99559699988788</v>
      </c>
      <c r="I323">
        <f>DTDRpat_result0__2[[#This Row],[gap of angle (rad)2]]*10000</f>
        <v>1.1803389161674176</v>
      </c>
      <c r="J323">
        <v>1.1803389161674177E-4</v>
      </c>
      <c r="K323" t="s">
        <v>8</v>
      </c>
      <c r="M323" t="s">
        <v>6</v>
      </c>
      <c r="N323">
        <v>301.99559699988788</v>
      </c>
      <c r="O323">
        <f>DTDRpat_result0__3[[#This Row],[gap of angle (rad)2]]*10000</f>
        <v>1.1090949197430768</v>
      </c>
      <c r="P323">
        <v>1.1090949197430769E-4</v>
      </c>
    </row>
    <row r="324" spans="1:16" x14ac:dyDescent="0.3">
      <c r="A324" t="s">
        <v>6</v>
      </c>
      <c r="B324">
        <v>303.8870229998854</v>
      </c>
      <c r="C324">
        <f>DTDRpat_result0_1[[#This Row],[gap of angle (rad)2]]*10000</f>
        <v>1.1866746277034985</v>
      </c>
      <c r="D324">
        <v>1.1866746277034985E-4</v>
      </c>
      <c r="E324">
        <v>542.55480018050798</v>
      </c>
      <c r="G324" t="s">
        <v>6</v>
      </c>
      <c r="H324">
        <v>303.8870229998854</v>
      </c>
      <c r="I324">
        <f>DTDRpat_result0__2[[#This Row],[gap of angle (rad)2]]*10000</f>
        <v>1.1795549787865454</v>
      </c>
      <c r="J324">
        <v>1.1795549787865454E-4</v>
      </c>
      <c r="K324" t="s">
        <v>7</v>
      </c>
      <c r="M324" t="s">
        <v>6</v>
      </c>
      <c r="N324">
        <v>303.8870229998854</v>
      </c>
      <c r="O324">
        <f>DTDRpat_result0__3[[#This Row],[gap of angle (rad)2]]*10000</f>
        <v>1.122676427820142</v>
      </c>
      <c r="P324">
        <v>1.1226764278201421E-4</v>
      </c>
    </row>
    <row r="325" spans="1:16" x14ac:dyDescent="0.3">
      <c r="A325" t="s">
        <v>6</v>
      </c>
      <c r="B325">
        <v>303.8870229998854</v>
      </c>
      <c r="C325">
        <f>DTDRpat_result0_1[[#This Row],[gap of angle (rad)2]]*10000</f>
        <v>1.1730657100567712</v>
      </c>
      <c r="D325">
        <v>1.1730657100567711E-4</v>
      </c>
      <c r="E325">
        <v>545.69287078828825</v>
      </c>
      <c r="G325" t="s">
        <v>6</v>
      </c>
      <c r="H325">
        <v>303.8870229998854</v>
      </c>
      <c r="I325">
        <f>DTDRpat_result0__2[[#This Row],[gap of angle (rad)2]]*10000</f>
        <v>1.1601583058727898</v>
      </c>
      <c r="J325">
        <v>1.1601583058727897E-4</v>
      </c>
      <c r="K325" t="s">
        <v>8</v>
      </c>
      <c r="M325" t="s">
        <v>6</v>
      </c>
      <c r="N325">
        <v>303.8870229998854</v>
      </c>
      <c r="O325">
        <f>DTDRpat_result0__3[[#This Row],[gap of angle (rad)2]]*10000</f>
        <v>1.1052519839169213</v>
      </c>
      <c r="P325">
        <v>1.1052519839169213E-4</v>
      </c>
    </row>
    <row r="326" spans="1:16" x14ac:dyDescent="0.3">
      <c r="A326" t="s">
        <v>6</v>
      </c>
      <c r="B326">
        <v>305.77844899988298</v>
      </c>
      <c r="C326">
        <f>DTDRpat_result0_1[[#This Row],[gap of angle (rad)2]]*10000</f>
        <v>1.1585234444698607</v>
      </c>
      <c r="D326">
        <v>1.1585234444698606E-4</v>
      </c>
      <c r="E326">
        <v>549.10707534319681</v>
      </c>
      <c r="G326" t="s">
        <v>6</v>
      </c>
      <c r="H326">
        <v>305.77844899988298</v>
      </c>
      <c r="I326">
        <f>DTDRpat_result0__2[[#This Row],[gap of angle (rad)2]]*10000</f>
        <v>1.1593802101656832</v>
      </c>
      <c r="J326">
        <v>1.1593802101656831E-4</v>
      </c>
      <c r="K326" t="s">
        <v>7</v>
      </c>
      <c r="M326" t="s">
        <v>6</v>
      </c>
      <c r="N326">
        <v>305.77844899988298</v>
      </c>
      <c r="O326">
        <f>DTDRpat_result0__3[[#This Row],[gap of angle (rad)2]]*10000</f>
        <v>1.1191126629040267</v>
      </c>
      <c r="P326">
        <v>1.1191126629040267E-4</v>
      </c>
    </row>
    <row r="327" spans="1:16" x14ac:dyDescent="0.3">
      <c r="A327" t="s">
        <v>6</v>
      </c>
      <c r="B327">
        <v>305.77844899988298</v>
      </c>
      <c r="C327">
        <f>DTDRpat_result0_1[[#This Row],[gap of angle (rad)2]]*10000</f>
        <v>1.1452310877819185</v>
      </c>
      <c r="D327">
        <v>1.1452310877819185E-4</v>
      </c>
      <c r="E327">
        <v>552.28453023397276</v>
      </c>
      <c r="G327" t="s">
        <v>6</v>
      </c>
      <c r="H327">
        <v>305.77844899988298</v>
      </c>
      <c r="I327">
        <f>DTDRpat_result0__2[[#This Row],[gap of angle (rad)2]]*10000</f>
        <v>1.1401791341048033</v>
      </c>
      <c r="J327">
        <v>1.1401791341048034E-4</v>
      </c>
      <c r="K327" t="s">
        <v>8</v>
      </c>
      <c r="M327" t="s">
        <v>6</v>
      </c>
      <c r="N327">
        <v>305.77844899988298</v>
      </c>
      <c r="O327">
        <f>DTDRpat_result0__3[[#This Row],[gap of angle (rad)2]]*10000</f>
        <v>1.1013754186275277</v>
      </c>
      <c r="P327">
        <v>1.1013754186275277E-4</v>
      </c>
    </row>
    <row r="328" spans="1:16" x14ac:dyDescent="0.3">
      <c r="A328" t="s">
        <v>6</v>
      </c>
      <c r="B328">
        <v>307.66987499988056</v>
      </c>
      <c r="C328">
        <f>DTDRpat_result0_1[[#This Row],[gap of angle (rad)2]]*10000</f>
        <v>1.1310616057065837</v>
      </c>
      <c r="D328">
        <v>1.1310616057065837E-4</v>
      </c>
      <c r="E328">
        <v>555.73313842246012</v>
      </c>
      <c r="G328" t="s">
        <v>6</v>
      </c>
      <c r="H328">
        <v>307.66987499988056</v>
      </c>
      <c r="I328">
        <f>DTDRpat_result0__2[[#This Row],[gap of angle (rad)2]]*10000</f>
        <v>1.1394108676995152</v>
      </c>
      <c r="J328">
        <v>1.1394108676995151E-4</v>
      </c>
      <c r="K328" t="s">
        <v>7</v>
      </c>
      <c r="M328" t="s">
        <v>6</v>
      </c>
      <c r="N328">
        <v>307.66987499988056</v>
      </c>
      <c r="O328">
        <f>DTDRpat_result0__3[[#This Row],[gap of angle (rad)2]]*10000</f>
        <v>1.1154489534136123</v>
      </c>
      <c r="P328">
        <v>1.1154489534136122E-4</v>
      </c>
    </row>
    <row r="329" spans="1:16" x14ac:dyDescent="0.3">
      <c r="A329" t="s">
        <v>6</v>
      </c>
      <c r="B329">
        <v>307.66987499988056</v>
      </c>
      <c r="C329">
        <f>DTDRpat_result0_1[[#This Row],[gap of angle (rad)2]]*10000</f>
        <v>1.1181400546231763</v>
      </c>
      <c r="D329">
        <v>1.1181400546231763E-4</v>
      </c>
      <c r="E329">
        <v>558.93498535636536</v>
      </c>
      <c r="G329" t="s">
        <v>6</v>
      </c>
      <c r="H329">
        <v>307.66987499988056</v>
      </c>
      <c r="I329">
        <f>DTDRpat_result0__2[[#This Row],[gap of angle (rad)2]]*10000</f>
        <v>1.1204985014565036</v>
      </c>
      <c r="J329">
        <v>1.1204985014565037E-4</v>
      </c>
      <c r="K329" t="s">
        <v>8</v>
      </c>
      <c r="M329" t="s">
        <v>6</v>
      </c>
      <c r="N329">
        <v>307.66987499988056</v>
      </c>
      <c r="O329">
        <f>DTDRpat_result0__3[[#This Row],[gap of angle (rad)2]]*10000</f>
        <v>1.0974828641711054</v>
      </c>
      <c r="P329">
        <v>1.0974828641711054E-4</v>
      </c>
    </row>
    <row r="330" spans="1:16" x14ac:dyDescent="0.3">
      <c r="A330" t="s">
        <v>6</v>
      </c>
      <c r="B330">
        <v>309.55503799987815</v>
      </c>
      <c r="C330">
        <f>DTDRpat_result0_1[[#This Row],[gap of angle (rad)2]]*10000</f>
        <v>1.1044832557862692</v>
      </c>
      <c r="D330">
        <v>1.1044832557862691E-4</v>
      </c>
      <c r="E330">
        <v>562.37990194660449</v>
      </c>
      <c r="G330" t="s">
        <v>6</v>
      </c>
      <c r="H330">
        <v>309.55503799987815</v>
      </c>
      <c r="I330">
        <f>DTDRpat_result0__2[[#This Row],[gap of angle (rad)2]]*10000</f>
        <v>1.1198080967085606</v>
      </c>
      <c r="J330">
        <v>1.1198080967085606E-4</v>
      </c>
      <c r="K330" t="s">
        <v>7</v>
      </c>
      <c r="M330" t="s">
        <v>6</v>
      </c>
      <c r="N330">
        <v>309.55503799987815</v>
      </c>
      <c r="O330">
        <f>DTDRpat_result0__3[[#This Row],[gap of angle (rad)2]]*10000</f>
        <v>1.1117158392606745</v>
      </c>
      <c r="P330">
        <v>1.1117158392606745E-4</v>
      </c>
    </row>
    <row r="331" spans="1:16" x14ac:dyDescent="0.3">
      <c r="A331" t="s">
        <v>6</v>
      </c>
      <c r="B331">
        <v>309.55503799987815</v>
      </c>
      <c r="C331">
        <f>DTDRpat_result0_1[[#This Row],[gap of angle (rad)2]]*10000</f>
        <v>1.091975210765024</v>
      </c>
      <c r="D331">
        <v>1.091975210765024E-4</v>
      </c>
      <c r="E331">
        <v>565.59156754274704</v>
      </c>
      <c r="G331" t="s">
        <v>6</v>
      </c>
      <c r="H331">
        <v>309.55503799987815</v>
      </c>
      <c r="I331">
        <f>DTDRpat_result0__2[[#This Row],[gap of angle (rad)2]]*10000</f>
        <v>1.1012652854900997</v>
      </c>
      <c r="J331">
        <v>1.1012652854900996E-4</v>
      </c>
      <c r="K331" t="s">
        <v>8</v>
      </c>
      <c r="M331" t="s">
        <v>6</v>
      </c>
      <c r="N331">
        <v>309.55503799987815</v>
      </c>
      <c r="O331">
        <f>DTDRpat_result0__3[[#This Row],[gap of angle (rad)2]]*10000</f>
        <v>1.093604697480218</v>
      </c>
      <c r="P331">
        <v>1.0936046974802181E-4</v>
      </c>
    </row>
    <row r="332" spans="1:16" x14ac:dyDescent="0.3">
      <c r="A332" t="s">
        <v>6</v>
      </c>
      <c r="B332">
        <v>311.44020099987569</v>
      </c>
      <c r="C332">
        <f>DTDRpat_result0_1[[#This Row],[gap of angle (rad)2]]*10000</f>
        <v>1.0787821696758828</v>
      </c>
      <c r="D332">
        <v>1.0787821696758829E-4</v>
      </c>
      <c r="E332">
        <v>569.03944531730997</v>
      </c>
      <c r="G332" t="s">
        <v>6</v>
      </c>
      <c r="H332">
        <v>311.44020099987569</v>
      </c>
      <c r="I332">
        <f>DTDRpat_result0__2[[#This Row],[gap of angle (rad)2]]*10000</f>
        <v>1.1005898906884262</v>
      </c>
      <c r="J332">
        <v>1.1005898906884261E-4</v>
      </c>
      <c r="K332" t="s">
        <v>7</v>
      </c>
      <c r="M332" t="s">
        <v>6</v>
      </c>
      <c r="N332">
        <v>311.44020099987569</v>
      </c>
      <c r="O332">
        <f>DTDRpat_result0__3[[#This Row],[gap of angle (rad)2]]*10000</f>
        <v>1.1079191624660649</v>
      </c>
      <c r="P332">
        <v>1.1079191624660649E-4</v>
      </c>
    </row>
    <row r="333" spans="1:16" x14ac:dyDescent="0.3">
      <c r="A333" t="s">
        <v>6</v>
      </c>
      <c r="B333">
        <v>311.44020099987569</v>
      </c>
      <c r="C333">
        <f>DTDRpat_result0_1[[#This Row],[gap of angle (rad)2]]*10000</f>
        <v>1.0667224569152647</v>
      </c>
      <c r="D333">
        <v>1.0667224569152646E-4</v>
      </c>
      <c r="E333">
        <v>572.24692795813723</v>
      </c>
      <c r="G333" t="s">
        <v>6</v>
      </c>
      <c r="H333">
        <v>311.44020099987569</v>
      </c>
      <c r="I333">
        <f>DTDRpat_result0__2[[#This Row],[gap of angle (rad)2]]*10000</f>
        <v>1.082488073554756</v>
      </c>
      <c r="J333">
        <v>1.082488073554756E-4</v>
      </c>
      <c r="K333" t="s">
        <v>8</v>
      </c>
      <c r="M333" t="s">
        <v>6</v>
      </c>
      <c r="N333">
        <v>311.44020099987569</v>
      </c>
      <c r="O333">
        <f>DTDRpat_result0__3[[#This Row],[gap of angle (rad)2]]*10000</f>
        <v>1.089744882451833</v>
      </c>
      <c r="P333">
        <v>1.089744882451833E-4</v>
      </c>
    </row>
    <row r="334" spans="1:16" x14ac:dyDescent="0.3">
      <c r="A334" t="s">
        <v>6</v>
      </c>
      <c r="B334">
        <v>313.32536399987328</v>
      </c>
      <c r="C334">
        <f>DTDRpat_result0_1[[#This Row],[gap of angle (rad)2]]*10000</f>
        <v>1.0540262827795821</v>
      </c>
      <c r="D334">
        <v>1.0540262827795821E-4</v>
      </c>
      <c r="E334">
        <v>575.68299809383086</v>
      </c>
      <c r="G334" t="s">
        <v>6</v>
      </c>
      <c r="H334">
        <v>313.32536399987328</v>
      </c>
      <c r="I334">
        <f>DTDRpat_result0__2[[#This Row],[gap of angle (rad)2]]*10000</f>
        <v>1.0818301117646625</v>
      </c>
      <c r="J334">
        <v>1.0818301117646624E-4</v>
      </c>
      <c r="K334" t="s">
        <v>7</v>
      </c>
      <c r="M334" t="s">
        <v>6</v>
      </c>
      <c r="N334">
        <v>313.32536399987328</v>
      </c>
      <c r="O334">
        <f>DTDRpat_result0__3[[#This Row],[gap of angle (rad)2]]*10000</f>
        <v>1.1040768100934293</v>
      </c>
      <c r="P334">
        <v>1.1040768100934293E-4</v>
      </c>
    </row>
    <row r="335" spans="1:16" x14ac:dyDescent="0.3">
      <c r="A335" t="s">
        <v>6</v>
      </c>
      <c r="B335">
        <v>313.32536399987328</v>
      </c>
      <c r="C335">
        <f>DTDRpat_result0_1[[#This Row],[gap of angle (rad)2]]*10000</f>
        <v>1.0424417749674277</v>
      </c>
      <c r="D335">
        <v>1.0424417749674277E-4</v>
      </c>
      <c r="E335">
        <v>578.8727958468728</v>
      </c>
      <c r="G335" t="s">
        <v>6</v>
      </c>
      <c r="H335">
        <v>313.32536399987328</v>
      </c>
      <c r="I335">
        <f>DTDRpat_result0__2[[#This Row],[gap of angle (rad)2]]*10000</f>
        <v>1.0642309807305803</v>
      </c>
      <c r="J335">
        <v>1.0642309807305804E-4</v>
      </c>
      <c r="K335" t="s">
        <v>8</v>
      </c>
      <c r="M335" t="s">
        <v>6</v>
      </c>
      <c r="N335">
        <v>313.32536399987328</v>
      </c>
      <c r="O335">
        <f>DTDRpat_result0__3[[#This Row],[gap of angle (rad)2]]*10000</f>
        <v>1.0859198094022315</v>
      </c>
      <c r="P335">
        <v>1.0859198094022316E-4</v>
      </c>
    </row>
    <row r="336" spans="1:16" x14ac:dyDescent="0.3">
      <c r="A336" t="s">
        <v>6</v>
      </c>
      <c r="B336">
        <v>315.21052699987086</v>
      </c>
      <c r="C336">
        <f>DTDRpat_result0_1[[#This Row],[gap of angle (rad)2]]*10000</f>
        <v>1.0302673306773578</v>
      </c>
      <c r="D336">
        <v>1.0302673306773577E-4</v>
      </c>
      <c r="E336">
        <v>582.28284044318593</v>
      </c>
      <c r="G336" t="s">
        <v>6</v>
      </c>
      <c r="H336">
        <v>315.21052699987086</v>
      </c>
      <c r="I336">
        <f>DTDRpat_result0__2[[#This Row],[gap of angle (rad)2]]*10000</f>
        <v>1.0635925808619859</v>
      </c>
      <c r="J336">
        <v>1.063592580861986E-4</v>
      </c>
      <c r="K336" t="s">
        <v>7</v>
      </c>
      <c r="M336" t="s">
        <v>6</v>
      </c>
      <c r="N336">
        <v>315.21052699987086</v>
      </c>
      <c r="O336">
        <f>DTDRpat_result0__3[[#This Row],[gap of angle (rad)2]]*10000</f>
        <v>1.1002064272462326</v>
      </c>
      <c r="P336">
        <v>1.1002064272462327E-4</v>
      </c>
    </row>
    <row r="337" spans="1:16" x14ac:dyDescent="0.3">
      <c r="A337" t="s">
        <v>6</v>
      </c>
      <c r="B337">
        <v>315.21052699987086</v>
      </c>
      <c r="C337">
        <f>DTDRpat_result0_1[[#This Row],[gap of angle (rad)2]]*10000</f>
        <v>1.0191779351701531</v>
      </c>
      <c r="D337">
        <v>1.019177935170153E-4</v>
      </c>
      <c r="E337">
        <v>585.44197605383238</v>
      </c>
      <c r="G337" t="s">
        <v>6</v>
      </c>
      <c r="H337">
        <v>315.21052699987086</v>
      </c>
      <c r="I337">
        <f>DTDRpat_result0__2[[#This Row],[gap of angle (rad)2]]*10000</f>
        <v>1.0465488214615406</v>
      </c>
      <c r="J337">
        <v>1.0465488214615406E-4</v>
      </c>
      <c r="K337" t="s">
        <v>8</v>
      </c>
      <c r="M337" t="s">
        <v>6</v>
      </c>
      <c r="N337">
        <v>315.21052699987086</v>
      </c>
      <c r="O337">
        <f>DTDRpat_result0__3[[#This Row],[gap of angle (rad)2]]*10000</f>
        <v>1.0821454617593651</v>
      </c>
      <c r="P337">
        <v>1.082145461759365E-4</v>
      </c>
    </row>
    <row r="338" spans="1:16" x14ac:dyDescent="0.3">
      <c r="A338" t="s">
        <v>6</v>
      </c>
      <c r="B338">
        <v>317.10195299986844</v>
      </c>
      <c r="C338">
        <f>DTDRpat_result0_1[[#This Row],[gap of angle (rad)2]]*10000</f>
        <v>1.0074695253888886</v>
      </c>
      <c r="D338">
        <v>1.0074695253888886E-4</v>
      </c>
      <c r="E338">
        <v>588.83389789246996</v>
      </c>
      <c r="G338" t="s">
        <v>6</v>
      </c>
      <c r="H338">
        <v>317.10195299986844</v>
      </c>
      <c r="I338">
        <f>DTDRpat_result0__2[[#This Row],[gap of angle (rad)2]]*10000</f>
        <v>1.0458741099661042</v>
      </c>
      <c r="J338">
        <v>1.0458741099661041E-4</v>
      </c>
      <c r="K338" t="s">
        <v>7</v>
      </c>
      <c r="M338" t="s">
        <v>6</v>
      </c>
      <c r="N338">
        <v>317.10195299986844</v>
      </c>
      <c r="O338">
        <f>DTDRpat_result0__3[[#This Row],[gap of angle (rad)2]]*10000</f>
        <v>1.0963125577111477</v>
      </c>
      <c r="P338">
        <v>1.0963125577111476E-4</v>
      </c>
    </row>
    <row r="339" spans="1:16" x14ac:dyDescent="0.3">
      <c r="A339" t="s">
        <v>6</v>
      </c>
      <c r="B339">
        <v>317.10195299986844</v>
      </c>
      <c r="C339">
        <f>DTDRpat_result0_1[[#This Row],[gap of angle (rad)2]]*10000</f>
        <v>0.99689084715344689</v>
      </c>
      <c r="D339">
        <v>9.9689084715344684E-5</v>
      </c>
      <c r="E339">
        <v>591.94977352867102</v>
      </c>
      <c r="G339" t="s">
        <v>6</v>
      </c>
      <c r="H339">
        <v>317.10195299986844</v>
      </c>
      <c r="I339">
        <f>DTDRpat_result0__2[[#This Row],[gap of angle (rad)2]]*10000</f>
        <v>1.0294321810144238</v>
      </c>
      <c r="J339">
        <v>1.0294321810144239E-4</v>
      </c>
      <c r="K339" t="s">
        <v>8</v>
      </c>
      <c r="M339" t="s">
        <v>6</v>
      </c>
      <c r="N339">
        <v>317.10195299986844</v>
      </c>
      <c r="O339">
        <f>DTDRpat_result0__3[[#This Row],[gap of angle (rad)2]]*10000</f>
        <v>1.0784250281977896</v>
      </c>
      <c r="P339">
        <v>1.0784250281977895E-4</v>
      </c>
    </row>
    <row r="340" spans="1:16" x14ac:dyDescent="0.3">
      <c r="A340" t="s">
        <v>6</v>
      </c>
      <c r="B340">
        <v>318.98711599986598</v>
      </c>
      <c r="C340">
        <f>DTDRpat_result0_1[[#This Row],[gap of angle (rad)2]]*10000</f>
        <v>0.98580983178362502</v>
      </c>
      <c r="D340">
        <v>9.8580983178362503E-5</v>
      </c>
      <c r="E340">
        <v>595.26722862974555</v>
      </c>
      <c r="G340" t="s">
        <v>6</v>
      </c>
      <c r="H340">
        <v>318.98711599986598</v>
      </c>
      <c r="I340">
        <f>DTDRpat_result0__2[[#This Row],[gap of angle (rad)2]]*10000</f>
        <v>1.0288380037843416</v>
      </c>
      <c r="J340">
        <v>1.0288380037843415E-4</v>
      </c>
      <c r="K340" t="s">
        <v>7</v>
      </c>
      <c r="M340" t="s">
        <v>6</v>
      </c>
      <c r="N340">
        <v>318.98711599986598</v>
      </c>
      <c r="O340">
        <f>DTDRpat_result0__3[[#This Row],[gap of angle (rad)2]]*10000</f>
        <v>1.0924381329222346</v>
      </c>
      <c r="P340">
        <v>1.0924381329222347E-4</v>
      </c>
    </row>
    <row r="341" spans="1:16" x14ac:dyDescent="0.3">
      <c r="A341" t="s">
        <v>6</v>
      </c>
      <c r="B341">
        <v>318.98711599986598</v>
      </c>
      <c r="C341">
        <f>DTDRpat_result0_1[[#This Row],[gap of angle (rad)2]]*10000</f>
        <v>0.97574893726914624</v>
      </c>
      <c r="D341">
        <v>9.757489372691463E-5</v>
      </c>
      <c r="E341">
        <v>598.32808943521013</v>
      </c>
      <c r="G341" t="s">
        <v>6</v>
      </c>
      <c r="H341">
        <v>318.98711599986598</v>
      </c>
      <c r="I341">
        <f>DTDRpat_result0__2[[#This Row],[gap of angle (rad)2]]*10000</f>
        <v>1.0130328543896177</v>
      </c>
      <c r="J341">
        <v>1.0130328543896178E-4</v>
      </c>
      <c r="K341" t="s">
        <v>8</v>
      </c>
      <c r="M341" t="s">
        <v>6</v>
      </c>
      <c r="N341">
        <v>318.98711599986598</v>
      </c>
      <c r="O341">
        <f>DTDRpat_result0__3[[#This Row],[gap of angle (rad)2]]*10000</f>
        <v>1.0747979499202021</v>
      </c>
      <c r="P341">
        <v>1.074797949920202E-4</v>
      </c>
    </row>
    <row r="342" spans="1:16" x14ac:dyDescent="0.3">
      <c r="A342" t="s">
        <v>6</v>
      </c>
      <c r="B342">
        <v>320.87227899986357</v>
      </c>
      <c r="C342">
        <f>DTDRpat_result0_1[[#This Row],[gap of angle (rad)2]]*10000</f>
        <v>0.96522675111093548</v>
      </c>
      <c r="D342">
        <v>9.6522675111093543E-5</v>
      </c>
      <c r="E342">
        <v>601.58032681511077</v>
      </c>
      <c r="G342" t="s">
        <v>6</v>
      </c>
      <c r="H342">
        <v>320.87227899986357</v>
      </c>
      <c r="I342">
        <f>DTDRpat_result0__2[[#This Row],[gap of angle (rad)2]]*10000</f>
        <v>1.0124627175800145</v>
      </c>
      <c r="J342">
        <v>1.0124627175800145E-4</v>
      </c>
      <c r="K342" t="s">
        <v>7</v>
      </c>
      <c r="M342" t="s">
        <v>6</v>
      </c>
      <c r="N342">
        <v>320.87227899986357</v>
      </c>
      <c r="O342">
        <f>DTDRpat_result0__3[[#This Row],[gap of angle (rad)2]]*10000</f>
        <v>1.0885870830504982</v>
      </c>
      <c r="P342">
        <v>1.0885870830504983E-4</v>
      </c>
    </row>
    <row r="343" spans="1:16" x14ac:dyDescent="0.3">
      <c r="A343" t="s">
        <v>6</v>
      </c>
      <c r="B343">
        <v>320.87227899986357</v>
      </c>
      <c r="C343">
        <f>DTDRpat_result0_1[[#This Row],[gap of angle (rad)2]]*10000</f>
        <v>0.95568814300854044</v>
      </c>
      <c r="D343">
        <v>9.5568814300854045E-5</v>
      </c>
      <c r="E343">
        <v>604.5748574436401</v>
      </c>
      <c r="G343" t="s">
        <v>6</v>
      </c>
      <c r="H343">
        <v>320.87227899986357</v>
      </c>
      <c r="I343">
        <f>DTDRpat_result0__2[[#This Row],[gap of angle (rad)2]]*10000</f>
        <v>0.99732437752893899</v>
      </c>
      <c r="J343">
        <v>9.9732437752893897E-5</v>
      </c>
      <c r="K343" t="s">
        <v>8</v>
      </c>
      <c r="M343" t="s">
        <v>6</v>
      </c>
      <c r="N343">
        <v>320.87227899986357</v>
      </c>
      <c r="O343">
        <f>DTDRpat_result0__3[[#This Row],[gap of angle (rad)2]]*10000</f>
        <v>1.0712660353546186</v>
      </c>
      <c r="P343">
        <v>1.0712660353546186E-4</v>
      </c>
    </row>
    <row r="344" spans="1:16" x14ac:dyDescent="0.3">
      <c r="A344" t="s">
        <v>6</v>
      </c>
      <c r="B344">
        <v>322.75744199986116</v>
      </c>
      <c r="C344">
        <f>DTDRpat_result0_1[[#This Row],[gap of angle (rad)2]]*10000</f>
        <v>0.94572771428002977</v>
      </c>
      <c r="D344">
        <v>9.4572771428002981E-5</v>
      </c>
      <c r="E344">
        <v>607.75003164376983</v>
      </c>
      <c r="G344" t="s">
        <v>6</v>
      </c>
      <c r="H344">
        <v>322.75744199986116</v>
      </c>
      <c r="I344">
        <f>DTDRpat_result0__2[[#This Row],[gap of angle (rad)2]]*10000</f>
        <v>0.99677929415776678</v>
      </c>
      <c r="J344">
        <v>9.9677929415776682E-5</v>
      </c>
      <c r="K344" t="s">
        <v>7</v>
      </c>
      <c r="M344" t="s">
        <v>6</v>
      </c>
      <c r="N344">
        <v>322.75744199986116</v>
      </c>
      <c r="O344">
        <f>DTDRpat_result0__3[[#This Row],[gap of angle (rad)2]]*10000</f>
        <v>1.0847756435908003</v>
      </c>
      <c r="P344">
        <v>1.0847756435908003E-4</v>
      </c>
    </row>
    <row r="345" spans="1:16" x14ac:dyDescent="0.3">
      <c r="A345" t="s">
        <v>6</v>
      </c>
      <c r="B345">
        <v>322.75744199986116</v>
      </c>
      <c r="C345">
        <f>DTDRpat_result0_1[[#This Row],[gap of angle (rad)2]]*10000</f>
        <v>0.93671233362699491</v>
      </c>
      <c r="D345">
        <v>9.367123336269949E-5</v>
      </c>
      <c r="E345">
        <v>610.66748274711472</v>
      </c>
      <c r="G345" t="s">
        <v>6</v>
      </c>
      <c r="H345">
        <v>322.75744199986116</v>
      </c>
      <c r="I345">
        <f>DTDRpat_result0__2[[#This Row],[gap of angle (rad)2]]*10000</f>
        <v>0.98233181203738951</v>
      </c>
      <c r="J345">
        <v>9.823318120373895E-5</v>
      </c>
      <c r="K345" t="s">
        <v>8</v>
      </c>
      <c r="M345" t="s">
        <v>6</v>
      </c>
      <c r="N345">
        <v>322.75744199986116</v>
      </c>
      <c r="O345">
        <f>DTDRpat_result0__3[[#This Row],[gap of angle (rad)2]]*10000</f>
        <v>1.06784274669498</v>
      </c>
      <c r="P345">
        <v>1.06784274669498E-4</v>
      </c>
    </row>
    <row r="346" spans="1:16" x14ac:dyDescent="0.3">
      <c r="A346" t="s">
        <v>6</v>
      </c>
      <c r="B346">
        <v>324.64260499985875</v>
      </c>
      <c r="C346">
        <f>DTDRpat_result0_1[[#This Row],[gap of angle (rad)2]]*10000</f>
        <v>0.92731304184407604</v>
      </c>
      <c r="D346">
        <v>9.2731304184407606E-5</v>
      </c>
      <c r="E346">
        <v>613.75435665678413</v>
      </c>
      <c r="G346" t="s">
        <v>6</v>
      </c>
      <c r="H346">
        <v>324.64260499985875</v>
      </c>
      <c r="I346">
        <f>DTDRpat_result0__2[[#This Row],[gap of angle (rad)2]]*10000</f>
        <v>0.98181255525669453</v>
      </c>
      <c r="J346">
        <v>9.8181255525669458E-5</v>
      </c>
      <c r="K346" t="s">
        <v>7</v>
      </c>
      <c r="M346" t="s">
        <v>6</v>
      </c>
      <c r="N346">
        <v>324.64260499985875</v>
      </c>
      <c r="O346">
        <f>DTDRpat_result0__3[[#This Row],[gap of angle (rad)2]]*10000</f>
        <v>1.0810196593923098</v>
      </c>
      <c r="P346">
        <v>1.0810196593923099E-4</v>
      </c>
    </row>
    <row r="347" spans="1:16" x14ac:dyDescent="0.3">
      <c r="A347" t="s">
        <v>6</v>
      </c>
      <c r="B347">
        <v>324.64260499985875</v>
      </c>
      <c r="C347">
        <f>DTDRpat_result0_1[[#This Row],[gap of angle (rad)2]]*10000</f>
        <v>0.91881904818248805</v>
      </c>
      <c r="D347">
        <v>9.1881904818248806E-5</v>
      </c>
      <c r="E347">
        <v>616.58454542781726</v>
      </c>
      <c r="G347" t="s">
        <v>6</v>
      </c>
      <c r="H347">
        <v>324.64260499985875</v>
      </c>
      <c r="I347">
        <f>DTDRpat_result0__2[[#This Row],[gap of angle (rad)2]]*10000</f>
        <v>0.96807483004584727</v>
      </c>
      <c r="J347">
        <v>9.680748300458473E-5</v>
      </c>
      <c r="K347" t="s">
        <v>8</v>
      </c>
      <c r="M347" t="s">
        <v>6</v>
      </c>
      <c r="N347">
        <v>324.64260499985875</v>
      </c>
      <c r="O347">
        <f>DTDRpat_result0__3[[#This Row],[gap of angle (rad)2]]*10000</f>
        <v>1.064540864722811</v>
      </c>
      <c r="P347">
        <v>1.064540864722811E-4</v>
      </c>
    </row>
    <row r="348" spans="1:16" x14ac:dyDescent="0.3">
      <c r="A348" t="s">
        <v>6</v>
      </c>
      <c r="B348">
        <v>326.52776799985628</v>
      </c>
      <c r="C348">
        <f>DTDRpat_result0_1[[#This Row],[gap of angle (rad)2]]*10000</f>
        <v>0.90997758189898315</v>
      </c>
      <c r="D348">
        <v>9.0997758189898312E-5</v>
      </c>
      <c r="E348">
        <v>619.57248951568852</v>
      </c>
      <c r="G348" t="s">
        <v>6</v>
      </c>
      <c r="H348">
        <v>326.52776799985628</v>
      </c>
      <c r="I348">
        <f>DTDRpat_result0__2[[#This Row],[gap of angle (rad)2]]*10000</f>
        <v>0.96758200093590419</v>
      </c>
      <c r="J348">
        <v>9.6758200093590417E-5</v>
      </c>
      <c r="K348" t="s">
        <v>7</v>
      </c>
      <c r="M348" t="s">
        <v>6</v>
      </c>
      <c r="N348">
        <v>326.52776799985628</v>
      </c>
      <c r="O348">
        <f>DTDRpat_result0__3[[#This Row],[gap of angle (rad)2]]*10000</f>
        <v>1.0773342513225381</v>
      </c>
      <c r="P348">
        <v>1.0773342513225382E-4</v>
      </c>
    </row>
    <row r="349" spans="1:16" x14ac:dyDescent="0.3">
      <c r="A349" t="s">
        <v>6</v>
      </c>
      <c r="B349">
        <v>326.52776799985628</v>
      </c>
      <c r="C349">
        <f>DTDRpat_result0_1[[#This Row],[gap of angle (rad)2]]*10000</f>
        <v>0.90200086543900837</v>
      </c>
      <c r="D349">
        <v>9.020008654390084E-5</v>
      </c>
      <c r="E349">
        <v>622.30579787000147</v>
      </c>
      <c r="G349" t="s">
        <v>6</v>
      </c>
      <c r="H349">
        <v>326.52776799985628</v>
      </c>
      <c r="I349">
        <f>DTDRpat_result0__2[[#This Row],[gap of angle (rad)2]]*10000</f>
        <v>0.9545682236114863</v>
      </c>
      <c r="J349">
        <v>9.5456822361148636E-5</v>
      </c>
      <c r="K349" t="s">
        <v>8</v>
      </c>
      <c r="M349" t="s">
        <v>6</v>
      </c>
      <c r="N349">
        <v>326.52776799985628</v>
      </c>
      <c r="O349">
        <f>DTDRpat_result0__3[[#This Row],[gap of angle (rad)2]]*10000</f>
        <v>1.0613726209131986</v>
      </c>
      <c r="P349">
        <v>1.0613726209131987E-4</v>
      </c>
    </row>
    <row r="350" spans="1:16" x14ac:dyDescent="0.3">
      <c r="A350" t="s">
        <v>6</v>
      </c>
      <c r="B350">
        <v>328.41919399985386</v>
      </c>
      <c r="C350">
        <f>DTDRpat_result0_1[[#This Row],[gap of angle (rad)2]]*10000</f>
        <v>0.8936595848473492</v>
      </c>
      <c r="D350">
        <v>8.9365958484734922E-5</v>
      </c>
      <c r="E350">
        <v>625.20306876879908</v>
      </c>
      <c r="G350" t="s">
        <v>6</v>
      </c>
      <c r="H350">
        <v>328.41919399985386</v>
      </c>
      <c r="I350">
        <f>DTDRpat_result0__2[[#This Row],[gap of angle (rad)2]]*10000</f>
        <v>0.95405873581478406</v>
      </c>
      <c r="J350">
        <v>9.5405873581478408E-5</v>
      </c>
      <c r="K350" t="s">
        <v>7</v>
      </c>
      <c r="M350" t="s">
        <v>6</v>
      </c>
      <c r="N350">
        <v>328.41919399985386</v>
      </c>
      <c r="O350">
        <f>DTDRpat_result0__3[[#This Row],[gap of angle (rad)2]]*10000</f>
        <v>1.0737223485231211</v>
      </c>
      <c r="P350">
        <v>1.0737223485231211E-4</v>
      </c>
    </row>
    <row r="351" spans="1:16" x14ac:dyDescent="0.3">
      <c r="A351" t="s">
        <v>6</v>
      </c>
      <c r="B351">
        <v>328.41919399985386</v>
      </c>
      <c r="C351">
        <f>DTDRpat_result0_1[[#This Row],[gap of angle (rad)2]]*10000</f>
        <v>0.88619604785973716</v>
      </c>
      <c r="D351">
        <v>8.8619604785973715E-5</v>
      </c>
      <c r="E351">
        <v>627.83007332190925</v>
      </c>
      <c r="G351" t="s">
        <v>6</v>
      </c>
      <c r="H351">
        <v>328.41919399985386</v>
      </c>
      <c r="I351">
        <f>DTDRpat_result0__2[[#This Row],[gap of angle (rad)2]]*10000</f>
        <v>0.94178170429533781</v>
      </c>
      <c r="J351">
        <v>9.4178170429533786E-5</v>
      </c>
      <c r="K351" t="s">
        <v>8</v>
      </c>
      <c r="M351" t="s">
        <v>6</v>
      </c>
      <c r="N351">
        <v>328.41919399985386</v>
      </c>
      <c r="O351">
        <f>DTDRpat_result0__3[[#This Row],[gap of angle (rad)2]]*10000</f>
        <v>1.0583394881904058</v>
      </c>
      <c r="P351">
        <v>1.0583394881904058E-4</v>
      </c>
    </row>
    <row r="352" spans="1:16" x14ac:dyDescent="0.3">
      <c r="A352" t="s">
        <v>6</v>
      </c>
      <c r="B352">
        <v>330.31061999985144</v>
      </c>
      <c r="C352">
        <f>DTDRpat_result0_1[[#This Row],[gap of angle (rad)2]]*10000</f>
        <v>0.87840549272204727</v>
      </c>
      <c r="D352">
        <v>8.7840549272204732E-5</v>
      </c>
      <c r="E352">
        <v>630.60777876581676</v>
      </c>
      <c r="G352" t="s">
        <v>6</v>
      </c>
      <c r="H352">
        <v>330.31061999985144</v>
      </c>
      <c r="I352">
        <f>DTDRpat_result0__2[[#This Row],[gap of angle (rad)2]]*10000</f>
        <v>0.94130204796344863</v>
      </c>
      <c r="J352">
        <v>9.4130204796344862E-5</v>
      </c>
      <c r="K352" t="s">
        <v>7</v>
      </c>
      <c r="M352" t="s">
        <v>6</v>
      </c>
      <c r="N352">
        <v>330.31061999985144</v>
      </c>
      <c r="O352">
        <f>DTDRpat_result0__3[[#This Row],[gap of angle (rad)2]]*10000</f>
        <v>1.0702102982765567</v>
      </c>
      <c r="P352">
        <v>1.0702102982765568E-4</v>
      </c>
    </row>
    <row r="353" spans="1:16" x14ac:dyDescent="0.3">
      <c r="A353" t="s">
        <v>6</v>
      </c>
      <c r="B353">
        <v>330.31061999985144</v>
      </c>
      <c r="C353">
        <f>DTDRpat_result0_1[[#This Row],[gap of angle (rad)2]]*10000</f>
        <v>0.87144785886129017</v>
      </c>
      <c r="D353">
        <v>8.7144785886129019E-5</v>
      </c>
      <c r="E353">
        <v>633.11992406779666</v>
      </c>
      <c r="G353" t="s">
        <v>6</v>
      </c>
      <c r="H353">
        <v>330.31061999985144</v>
      </c>
      <c r="I353">
        <f>DTDRpat_result0__2[[#This Row],[gap of angle (rad)2]]*10000</f>
        <v>0.92976884015874772</v>
      </c>
      <c r="J353">
        <v>9.297688401587477E-5</v>
      </c>
      <c r="K353" t="s">
        <v>8</v>
      </c>
      <c r="M353" t="s">
        <v>6</v>
      </c>
      <c r="N353">
        <v>330.31061999985144</v>
      </c>
      <c r="O353">
        <f>DTDRpat_result0__3[[#This Row],[gap of angle (rad)2]]*10000</f>
        <v>1.0554630591565339</v>
      </c>
      <c r="P353">
        <v>1.055463059156534E-4</v>
      </c>
    </row>
    <row r="354" spans="1:16" x14ac:dyDescent="0.3">
      <c r="A354" t="s">
        <v>6</v>
      </c>
      <c r="B354">
        <v>332.20204599984902</v>
      </c>
      <c r="C354">
        <f>DTDRpat_result0_1[[#This Row],[gap of angle (rad)2]]*10000</f>
        <v>0.86419979065889907</v>
      </c>
      <c r="D354">
        <v>8.6419979065889912E-5</v>
      </c>
      <c r="E354">
        <v>635.76912049667112</v>
      </c>
      <c r="G354" t="s">
        <v>6</v>
      </c>
      <c r="H354">
        <v>332.20204599984902</v>
      </c>
      <c r="I354">
        <f>DTDRpat_result0__2[[#This Row],[gap of angle (rad)2]]*10000</f>
        <v>0.92931926593154246</v>
      </c>
      <c r="J354">
        <v>9.293192659315425E-5</v>
      </c>
      <c r="K354" t="s">
        <v>7</v>
      </c>
      <c r="M354" t="s">
        <v>6</v>
      </c>
      <c r="N354">
        <v>332.20204599984902</v>
      </c>
      <c r="O354">
        <f>DTDRpat_result0__3[[#This Row],[gap of angle (rad)2]]*10000</f>
        <v>1.0668116480026455</v>
      </c>
      <c r="P354">
        <v>1.0668116480026454E-4</v>
      </c>
    </row>
    <row r="355" spans="1:16" x14ac:dyDescent="0.3">
      <c r="A355" t="s">
        <v>6</v>
      </c>
      <c r="B355">
        <v>332.20204599984902</v>
      </c>
      <c r="C355">
        <f>DTDRpat_result0_1[[#This Row],[gap of angle (rad)2]]*10000</f>
        <v>0.8577400915777027</v>
      </c>
      <c r="D355">
        <v>8.5774009157770268E-5</v>
      </c>
      <c r="E355">
        <v>638.15840703683477</v>
      </c>
      <c r="G355" t="s">
        <v>6</v>
      </c>
      <c r="H355">
        <v>332.20204599984902</v>
      </c>
      <c r="I355">
        <f>DTDRpat_result0__2[[#This Row],[gap of angle (rad)2]]*10000</f>
        <v>0.91853411952806907</v>
      </c>
      <c r="J355">
        <v>9.1853411952806912E-5</v>
      </c>
      <c r="K355" t="s">
        <v>8</v>
      </c>
      <c r="M355" t="s">
        <v>6</v>
      </c>
      <c r="N355">
        <v>332.20204599984902</v>
      </c>
      <c r="O355">
        <f>DTDRpat_result0__3[[#This Row],[gap of angle (rad)2]]*10000</f>
        <v>1.0527533608897868</v>
      </c>
      <c r="P355">
        <v>1.0527533608897868E-4</v>
      </c>
    </row>
    <row r="356" spans="1:16" x14ac:dyDescent="0.3">
      <c r="A356" t="s">
        <v>6</v>
      </c>
      <c r="B356">
        <v>334.09347199984654</v>
      </c>
      <c r="C356">
        <f>DTDRpat_result0_1[[#This Row],[gap of angle (rad)2]]*10000</f>
        <v>0.85102543275867715</v>
      </c>
      <c r="D356">
        <v>8.5102543275867719E-5</v>
      </c>
      <c r="E356">
        <v>640.67074821149265</v>
      </c>
      <c r="G356" t="s">
        <v>6</v>
      </c>
      <c r="H356">
        <v>334.09347199984654</v>
      </c>
      <c r="I356">
        <f>DTDRpat_result0__2[[#This Row],[gap of angle (rad)2]]*10000</f>
        <v>0.91811471712263548</v>
      </c>
      <c r="J356">
        <v>9.1811471712263548E-5</v>
      </c>
      <c r="K356" t="s">
        <v>7</v>
      </c>
      <c r="M356" t="s">
        <v>6</v>
      </c>
      <c r="N356">
        <v>334.09347199984654</v>
      </c>
      <c r="O356">
        <f>DTDRpat_result0__3[[#This Row],[gap of angle (rad)2]]*10000</f>
        <v>1.063539103471679</v>
      </c>
      <c r="P356">
        <v>1.063539103471679E-4</v>
      </c>
    </row>
    <row r="357" spans="1:16" x14ac:dyDescent="0.3">
      <c r="A357" t="s">
        <v>6</v>
      </c>
      <c r="B357">
        <v>334.09347199984654</v>
      </c>
      <c r="C357">
        <f>DTDRpat_result0_1[[#This Row],[gap of angle (rad)2]]*10000</f>
        <v>0.84505503347162636</v>
      </c>
      <c r="D357">
        <v>8.4505503347162634E-5</v>
      </c>
      <c r="E357">
        <v>642.92972600596909</v>
      </c>
      <c r="G357" t="s">
        <v>6</v>
      </c>
      <c r="H357">
        <v>334.09347199984654</v>
      </c>
      <c r="I357">
        <f>DTDRpat_result0__2[[#This Row],[gap of angle (rad)2]]*10000</f>
        <v>0.90807964881825964</v>
      </c>
      <c r="J357">
        <v>9.0807964881825968E-5</v>
      </c>
      <c r="K357" t="s">
        <v>8</v>
      </c>
      <c r="M357" t="s">
        <v>6</v>
      </c>
      <c r="N357">
        <v>334.09347199984654</v>
      </c>
      <c r="O357">
        <f>DTDRpat_result0__3[[#This Row],[gap of angle (rad)2]]*10000</f>
        <v>1.0502197076377313</v>
      </c>
      <c r="P357">
        <v>1.0502197076377313E-4</v>
      </c>
    </row>
    <row r="358" spans="1:16" x14ac:dyDescent="0.3">
      <c r="A358" t="s">
        <v>6</v>
      </c>
      <c r="B358">
        <v>335.97863499984413</v>
      </c>
      <c r="C358">
        <f>DTDRpat_result0_1[[#This Row],[gap of angle (rad)2]]*10000</f>
        <v>0.83890293900122026</v>
      </c>
      <c r="D358">
        <v>8.3890293900122024E-5</v>
      </c>
      <c r="E358">
        <v>645.28260509774771</v>
      </c>
      <c r="G358" t="s">
        <v>6</v>
      </c>
      <c r="H358">
        <v>335.97863499984413</v>
      </c>
      <c r="I358">
        <f>DTDRpat_result0__2[[#This Row],[gap of angle (rad)2]]*10000</f>
        <v>0.90772375201865907</v>
      </c>
      <c r="J358">
        <v>9.0772375201865905E-5</v>
      </c>
      <c r="K358" t="s">
        <v>7</v>
      </c>
      <c r="M358" t="s">
        <v>6</v>
      </c>
      <c r="N358">
        <v>335.97863499984413</v>
      </c>
      <c r="O358">
        <f>DTDRpat_result0__3[[#This Row],[gap of angle (rad)2]]*10000</f>
        <v>1.060414782318873</v>
      </c>
      <c r="P358">
        <v>1.0604147823188729E-4</v>
      </c>
    </row>
    <row r="359" spans="1:16" x14ac:dyDescent="0.3">
      <c r="A359" t="s">
        <v>6</v>
      </c>
      <c r="B359">
        <v>335.97863499984413</v>
      </c>
      <c r="C359">
        <f>DTDRpat_result0_1[[#This Row],[gap of angle (rad)2]]*10000</f>
        <v>0.83341136866570709</v>
      </c>
      <c r="D359">
        <v>8.3341136866570703E-5</v>
      </c>
      <c r="E359">
        <v>647.40483215490588</v>
      </c>
      <c r="G359" t="s">
        <v>6</v>
      </c>
      <c r="H359">
        <v>335.97863499984413</v>
      </c>
      <c r="I359">
        <f>DTDRpat_result0__2[[#This Row],[gap of angle (rad)2]]*10000</f>
        <v>0.89843644754482743</v>
      </c>
      <c r="J359">
        <v>8.9843644754482741E-5</v>
      </c>
      <c r="K359" t="s">
        <v>8</v>
      </c>
      <c r="M359" t="s">
        <v>6</v>
      </c>
      <c r="N359">
        <v>335.97863499984413</v>
      </c>
      <c r="O359">
        <f>DTDRpat_result0__3[[#This Row],[gap of angle (rad)2]]*10000</f>
        <v>1.0478779657593882</v>
      </c>
      <c r="P359">
        <v>1.0478779657593881E-4</v>
      </c>
    </row>
    <row r="360" spans="1:16" x14ac:dyDescent="0.3">
      <c r="A360" t="s">
        <v>6</v>
      </c>
      <c r="B360">
        <v>337.86379799984172</v>
      </c>
      <c r="C360">
        <f>DTDRpat_result0_1[[#This Row],[gap of angle (rad)2]]*10000</f>
        <v>0.82776865175149028</v>
      </c>
      <c r="D360">
        <v>8.2776865175149034E-5</v>
      </c>
      <c r="E360">
        <v>649.60741627909476</v>
      </c>
      <c r="G360" t="s">
        <v>6</v>
      </c>
      <c r="H360">
        <v>337.86379799984172</v>
      </c>
      <c r="I360">
        <f>DTDRpat_result0__2[[#This Row],[gap of angle (rad)2]]*10000</f>
        <v>0.89810804225128149</v>
      </c>
      <c r="J360">
        <v>8.9810804225128152E-5</v>
      </c>
      <c r="K360" t="s">
        <v>7</v>
      </c>
      <c r="M360" t="s">
        <v>6</v>
      </c>
      <c r="N360">
        <v>337.86379799984172</v>
      </c>
      <c r="O360">
        <f>DTDRpat_result0__3[[#This Row],[gap of angle (rad)2]]*10000</f>
        <v>1.0574388224647553</v>
      </c>
      <c r="P360">
        <v>1.0574388224647554E-4</v>
      </c>
    </row>
    <row r="361" spans="1:16" x14ac:dyDescent="0.3">
      <c r="A361" t="s">
        <v>6</v>
      </c>
      <c r="B361">
        <v>337.86379799984172</v>
      </c>
      <c r="C361">
        <f>DTDRpat_result0_1[[#This Row],[gap of angle (rad)2]]*10000</f>
        <v>0.82274700694448866</v>
      </c>
      <c r="D361">
        <v>8.2274700694448866E-5</v>
      </c>
      <c r="E361">
        <v>651.58656187876318</v>
      </c>
      <c r="G361" t="s">
        <v>6</v>
      </c>
      <c r="H361">
        <v>337.86379799984172</v>
      </c>
      <c r="I361">
        <f>DTDRpat_result0__2[[#This Row],[gap of angle (rad)2]]*10000</f>
        <v>0.88956728674058516</v>
      </c>
      <c r="J361">
        <v>8.8956728674058518E-5</v>
      </c>
      <c r="K361" t="s">
        <v>8</v>
      </c>
      <c r="M361" t="s">
        <v>6</v>
      </c>
      <c r="N361">
        <v>337.86379799984172</v>
      </c>
      <c r="O361">
        <f>DTDRpat_result0__3[[#This Row],[gap of angle (rad)2]]*10000</f>
        <v>1.0457272799366757</v>
      </c>
      <c r="P361">
        <v>1.0457272799366757E-4</v>
      </c>
    </row>
    <row r="362" spans="1:16" x14ac:dyDescent="0.3">
      <c r="A362" t="s">
        <v>6</v>
      </c>
      <c r="B362">
        <v>339.74896099983931</v>
      </c>
      <c r="C362">
        <f>DTDRpat_result0_1[[#This Row],[gap of angle (rad)2]]*10000</f>
        <v>0.81760422845495584</v>
      </c>
      <c r="D362">
        <v>8.1760422845495587E-5</v>
      </c>
      <c r="E362">
        <v>653.632336138592</v>
      </c>
      <c r="G362" t="s">
        <v>6</v>
      </c>
      <c r="H362">
        <v>339.74896099983931</v>
      </c>
      <c r="I362">
        <f>DTDRpat_result0__2[[#This Row],[gap of angle (rad)2]]*10000</f>
        <v>0.88926636881713228</v>
      </c>
      <c r="J362">
        <v>8.8926636881713229E-5</v>
      </c>
      <c r="K362" t="s">
        <v>7</v>
      </c>
      <c r="M362" t="s">
        <v>6</v>
      </c>
      <c r="N362">
        <v>339.74896099983931</v>
      </c>
      <c r="O362">
        <f>DTDRpat_result0__3[[#This Row],[gap of angle (rad)2]]*10000</f>
        <v>1.0546216701704816</v>
      </c>
      <c r="P362">
        <v>1.0546216701704817E-4</v>
      </c>
    </row>
    <row r="363" spans="1:16" x14ac:dyDescent="0.3">
      <c r="A363" t="s">
        <v>6</v>
      </c>
      <c r="B363">
        <v>339.74896099983931</v>
      </c>
      <c r="C363">
        <f>DTDRpat_result0_1[[#This Row],[gap of angle (rad)2]]*10000</f>
        <v>0.81304389694270807</v>
      </c>
      <c r="D363">
        <v>8.130438969427081E-5</v>
      </c>
      <c r="E363">
        <v>655.46259375393765</v>
      </c>
      <c r="G363" t="s">
        <v>6</v>
      </c>
      <c r="H363">
        <v>339.74896099983931</v>
      </c>
      <c r="I363">
        <f>DTDRpat_result0__2[[#This Row],[gap of angle (rad)2]]*10000</f>
        <v>0.88146988740527021</v>
      </c>
      <c r="J363">
        <v>8.8146988740527027E-5</v>
      </c>
      <c r="K363" t="s">
        <v>8</v>
      </c>
      <c r="M363" t="s">
        <v>6</v>
      </c>
      <c r="N363">
        <v>339.74896099983931</v>
      </c>
      <c r="O363">
        <f>DTDRpat_result0__3[[#This Row],[gap of angle (rad)2]]*10000</f>
        <v>1.0437745217891812</v>
      </c>
      <c r="P363">
        <v>1.0437745217891811E-4</v>
      </c>
    </row>
    <row r="364" spans="1:16" x14ac:dyDescent="0.3">
      <c r="A364" t="s">
        <v>6</v>
      </c>
      <c r="B364">
        <v>341.63412399983685</v>
      </c>
      <c r="C364">
        <f>DTDRpat_result0_1[[#This Row],[gap of angle (rad)2]]*10000</f>
        <v>0.80839179923698734</v>
      </c>
      <c r="D364">
        <v>8.0839179923698732E-5</v>
      </c>
      <c r="E364">
        <v>657.34560262898742</v>
      </c>
      <c r="G364" t="s">
        <v>6</v>
      </c>
      <c r="H364">
        <v>341.63412399983685</v>
      </c>
      <c r="I364">
        <f>DTDRpat_result0__2[[#This Row],[gap of angle (rad)2]]*10000</f>
        <v>0.88119631645457985</v>
      </c>
      <c r="J364">
        <v>8.8119631645457985E-5</v>
      </c>
      <c r="K364" t="s">
        <v>7</v>
      </c>
      <c r="M364" t="s">
        <v>6</v>
      </c>
      <c r="N364">
        <v>341.63412399983685</v>
      </c>
      <c r="O364">
        <f>DTDRpat_result0__3[[#This Row],[gap of angle (rad)2]]*10000</f>
        <v>1.0519729915349916</v>
      </c>
      <c r="P364">
        <v>1.0519729915349916E-4</v>
      </c>
    </row>
    <row r="365" spans="1:16" x14ac:dyDescent="0.3">
      <c r="A365" t="s">
        <v>6</v>
      </c>
      <c r="B365">
        <v>341.63412399983685</v>
      </c>
      <c r="C365">
        <f>DTDRpat_result0_1[[#This Row],[gap of angle (rad)2]]*10000</f>
        <v>0.80428442981820558</v>
      </c>
      <c r="D365">
        <v>8.042844298182056E-5</v>
      </c>
      <c r="E365">
        <v>659.02168359307609</v>
      </c>
      <c r="G365" t="s">
        <v>6</v>
      </c>
      <c r="H365">
        <v>341.63412399983685</v>
      </c>
      <c r="I365">
        <f>DTDRpat_result0__2[[#This Row],[gap of angle (rad)2]]*10000</f>
        <v>0.87414110802035416</v>
      </c>
      <c r="J365">
        <v>8.7414110802035421E-5</v>
      </c>
      <c r="K365" t="s">
        <v>8</v>
      </c>
      <c r="M365" t="s">
        <v>6</v>
      </c>
      <c r="N365">
        <v>341.63412399983685</v>
      </c>
      <c r="O365">
        <f>DTDRpat_result0__3[[#This Row],[gap of angle (rad)2]]*10000</f>
        <v>1.0420260460833173</v>
      </c>
      <c r="P365">
        <v>1.0420260460833172E-4</v>
      </c>
    </row>
    <row r="366" spans="1:16" x14ac:dyDescent="0.3">
      <c r="A366" t="s">
        <v>6</v>
      </c>
      <c r="B366">
        <v>343.52554999983442</v>
      </c>
      <c r="C366">
        <f>DTDRpat_result0_1[[#This Row],[gap of angle (rad)2]]*10000</f>
        <v>0.80008837442548608</v>
      </c>
      <c r="D366">
        <v>8.0008837442548613E-5</v>
      </c>
      <c r="E366">
        <v>660.74724158307868</v>
      </c>
      <c r="G366" t="s">
        <v>6</v>
      </c>
      <c r="H366">
        <v>343.52554999983442</v>
      </c>
      <c r="I366">
        <f>DTDRpat_result0__2[[#This Row],[gap of angle (rad)2]]*10000</f>
        <v>0.87387183647084843</v>
      </c>
      <c r="J366">
        <v>8.7387183647084839E-5</v>
      </c>
      <c r="K366" t="s">
        <v>7</v>
      </c>
      <c r="M366" t="s">
        <v>6</v>
      </c>
      <c r="N366">
        <v>343.52554999983442</v>
      </c>
      <c r="O366">
        <f>DTDRpat_result0__3[[#This Row],[gap of angle (rad)2]]*10000</f>
        <v>1.0494939140228019</v>
      </c>
      <c r="P366">
        <v>1.0494939140228019E-4</v>
      </c>
    </row>
    <row r="367" spans="1:16" x14ac:dyDescent="0.3">
      <c r="A367" t="s">
        <v>6</v>
      </c>
      <c r="B367">
        <v>343.52554999983442</v>
      </c>
      <c r="C367">
        <f>DTDRpat_result0_1[[#This Row],[gap of angle (rad)2]]*10000</f>
        <v>0.79642746335422909</v>
      </c>
      <c r="D367">
        <v>7.9642746335422914E-5</v>
      </c>
      <c r="E367">
        <v>662.26383361586136</v>
      </c>
      <c r="G367" t="s">
        <v>6</v>
      </c>
      <c r="H367">
        <v>343.52554999983442</v>
      </c>
      <c r="I367">
        <f>DTDRpat_result0__2[[#This Row],[gap of angle (rad)2]]*10000</f>
        <v>0.86755685372038749</v>
      </c>
      <c r="J367">
        <v>8.675568537203875E-5</v>
      </c>
      <c r="K367" t="s">
        <v>8</v>
      </c>
      <c r="M367" t="s">
        <v>6</v>
      </c>
      <c r="N367">
        <v>343.52554999983442</v>
      </c>
      <c r="O367">
        <f>DTDRpat_result0__3[[#This Row],[gap of angle (rad)2]]*10000</f>
        <v>1.0404824985469794</v>
      </c>
      <c r="P367">
        <v>1.0404824985469794E-4</v>
      </c>
    </row>
    <row r="368" spans="1:16" x14ac:dyDescent="0.3">
      <c r="A368" t="s">
        <v>6</v>
      </c>
      <c r="B368">
        <v>345.416975999832</v>
      </c>
      <c r="C368">
        <f>DTDRpat_result0_1[[#This Row],[gap of angle (rad)2]]*10000</f>
        <v>0.79270981600661228</v>
      </c>
      <c r="D368">
        <v>7.9270981600661233E-5</v>
      </c>
      <c r="E368">
        <v>663.81466332041032</v>
      </c>
      <c r="G368" t="s">
        <v>6</v>
      </c>
      <c r="H368">
        <v>345.416975999832</v>
      </c>
      <c r="I368">
        <f>DTDRpat_result0__2[[#This Row],[gap of angle (rad)2]]*10000</f>
        <v>0.86731730972817489</v>
      </c>
      <c r="J368">
        <v>8.6731730972817493E-5</v>
      </c>
      <c r="K368" t="s">
        <v>7</v>
      </c>
      <c r="M368" t="s">
        <v>6</v>
      </c>
      <c r="N368">
        <v>345.416975999832</v>
      </c>
      <c r="O368">
        <f>DTDRpat_result0__3[[#This Row],[gap of angle (rad)2]]*10000</f>
        <v>1.0472017570309167</v>
      </c>
      <c r="P368">
        <v>1.0472017570309167E-4</v>
      </c>
    </row>
    <row r="369" spans="1:16" x14ac:dyDescent="0.3">
      <c r="A369" t="s">
        <v>6</v>
      </c>
      <c r="B369">
        <v>345.416975999832</v>
      </c>
      <c r="C369">
        <f>DTDRpat_result0_1[[#This Row],[gap of angle (rad)2]]*10000</f>
        <v>0.78948798950637245</v>
      </c>
      <c r="D369">
        <v>7.8948798950637247E-5</v>
      </c>
      <c r="E369">
        <v>665.16746917678597</v>
      </c>
      <c r="G369" t="s">
        <v>6</v>
      </c>
      <c r="H369">
        <v>345.416975999832</v>
      </c>
      <c r="I369">
        <f>DTDRpat_result0__2[[#This Row],[gap of angle (rad)2]]*10000</f>
        <v>0.86173884172115811</v>
      </c>
      <c r="J369">
        <v>8.6173884172115815E-5</v>
      </c>
      <c r="K369" t="s">
        <v>8</v>
      </c>
      <c r="M369" t="s">
        <v>6</v>
      </c>
      <c r="N369">
        <v>345.416975999832</v>
      </c>
      <c r="O369">
        <f>DTDRpat_result0__3[[#This Row],[gap of angle (rad)2]]*10000</f>
        <v>1.0391549528235884</v>
      </c>
      <c r="P369">
        <v>1.0391549528235884E-4</v>
      </c>
    </row>
    <row r="370" spans="1:16" x14ac:dyDescent="0.3">
      <c r="A370" t="s">
        <v>6</v>
      </c>
      <c r="B370">
        <v>347.30840199982958</v>
      </c>
      <c r="C370">
        <f>DTDRpat_result0_1[[#This Row],[gap of angle (rad)2]]*10000</f>
        <v>0.78624114215867835</v>
      </c>
      <c r="D370">
        <v>7.8624114215867841E-5</v>
      </c>
      <c r="E370">
        <v>666.53920126711887</v>
      </c>
      <c r="G370" t="s">
        <v>6</v>
      </c>
      <c r="H370">
        <v>347.30840199982958</v>
      </c>
      <c r="I370">
        <f>DTDRpat_result0__2[[#This Row],[gap of angle (rad)2]]*10000</f>
        <v>0.86152893071828551</v>
      </c>
      <c r="J370">
        <v>8.615289307182855E-5</v>
      </c>
      <c r="K370" t="s">
        <v>7</v>
      </c>
      <c r="M370" t="s">
        <v>6</v>
      </c>
      <c r="N370">
        <v>347.30840199982958</v>
      </c>
      <c r="O370">
        <f>DTDRpat_result0__3[[#This Row],[gap of angle (rad)2]]*10000</f>
        <v>1.0451040818266686</v>
      </c>
      <c r="P370">
        <v>1.0451040818266687E-4</v>
      </c>
    </row>
    <row r="371" spans="1:16" x14ac:dyDescent="0.3">
      <c r="A371" t="s">
        <v>6</v>
      </c>
      <c r="B371">
        <v>347.30840199982958</v>
      </c>
      <c r="C371">
        <f>DTDRpat_result0_1[[#This Row],[gap of angle (rad)2]]*10000</f>
        <v>0.78345170204715853</v>
      </c>
      <c r="D371">
        <v>7.834517020471585E-5</v>
      </c>
      <c r="E371">
        <v>667.72442989033823</v>
      </c>
      <c r="G371" t="s">
        <v>6</v>
      </c>
      <c r="H371">
        <v>347.30840199982958</v>
      </c>
      <c r="I371">
        <f>DTDRpat_result0__2[[#This Row],[gap of angle (rad)2]]*10000</f>
        <v>0.85668325705932824</v>
      </c>
      <c r="J371">
        <v>8.5668325705932826E-5</v>
      </c>
      <c r="K371" t="s">
        <v>8</v>
      </c>
      <c r="M371" t="s">
        <v>6</v>
      </c>
      <c r="N371">
        <v>347.30840199982958</v>
      </c>
      <c r="O371">
        <f>DTDRpat_result0__3[[#This Row],[gap of angle (rad)2]]*10000</f>
        <v>1.0380475317997515</v>
      </c>
      <c r="P371">
        <v>1.0380475317997516E-4</v>
      </c>
    </row>
    <row r="372" spans="1:16" x14ac:dyDescent="0.3">
      <c r="A372" t="s">
        <v>6</v>
      </c>
      <c r="B372">
        <v>349.19356499982717</v>
      </c>
      <c r="C372">
        <f>DTDRpat_result0_1[[#This Row],[gap of angle (rad)2]]*10000</f>
        <v>0.78068568664445082</v>
      </c>
      <c r="D372">
        <v>7.8068568664445081E-5</v>
      </c>
      <c r="E372">
        <v>668.90596426251216</v>
      </c>
      <c r="G372" t="s">
        <v>6</v>
      </c>
      <c r="H372">
        <v>349.19356499982717</v>
      </c>
      <c r="I372">
        <f>DTDRpat_result0__2[[#This Row],[gap of angle (rad)2]]*10000</f>
        <v>0.85651812350603418</v>
      </c>
      <c r="J372">
        <v>8.5651812350603422E-5</v>
      </c>
      <c r="K372" t="s">
        <v>7</v>
      </c>
      <c r="M372" t="s">
        <v>6</v>
      </c>
      <c r="N372">
        <v>349.19356499982717</v>
      </c>
      <c r="O372">
        <f>DTDRpat_result0__3[[#This Row],[gap of angle (rad)2]]*10000</f>
        <v>1.0432136511735199</v>
      </c>
      <c r="P372">
        <v>1.0432136511735199E-4</v>
      </c>
    </row>
    <row r="373" spans="1:16" x14ac:dyDescent="0.3">
      <c r="A373" t="s">
        <v>6</v>
      </c>
      <c r="B373">
        <v>349.19356499982717</v>
      </c>
      <c r="C373">
        <f>DTDRpat_result0_1[[#This Row],[gap of angle (rad)2]]*10000</f>
        <v>0.77832135668542968</v>
      </c>
      <c r="D373">
        <v>7.7832135668542965E-5</v>
      </c>
      <c r="E373">
        <v>669.92089681720233</v>
      </c>
      <c r="G373" t="s">
        <v>6</v>
      </c>
      <c r="H373">
        <v>349.19356499982717</v>
      </c>
      <c r="I373">
        <f>DTDRpat_result0__2[[#This Row],[gap of angle (rad)2]]*10000</f>
        <v>0.85239922424922954</v>
      </c>
      <c r="J373">
        <v>8.5239922424922959E-5</v>
      </c>
      <c r="K373" t="s">
        <v>8</v>
      </c>
      <c r="M373" t="s">
        <v>6</v>
      </c>
      <c r="N373">
        <v>349.19356499982717</v>
      </c>
      <c r="O373">
        <f>DTDRpat_result0__3[[#This Row],[gap of angle (rad)2]]*10000</f>
        <v>1.037166164340404</v>
      </c>
      <c r="P373">
        <v>1.0371661643404039E-4</v>
      </c>
    </row>
    <row r="374" spans="1:16" x14ac:dyDescent="0.3">
      <c r="A374" t="s">
        <v>6</v>
      </c>
      <c r="B374">
        <v>351.07872799982471</v>
      </c>
      <c r="C374">
        <f>DTDRpat_result0_1[[#This Row],[gap of angle (rad)2]]*10000</f>
        <v>0.77600881193740512</v>
      </c>
      <c r="D374">
        <v>7.760088119374051E-5</v>
      </c>
      <c r="E374">
        <v>670.91803291591498</v>
      </c>
      <c r="G374" t="s">
        <v>6</v>
      </c>
      <c r="H374">
        <v>351.07872799982471</v>
      </c>
      <c r="I374">
        <f>DTDRpat_result0__2[[#This Row],[gap of angle (rad)2]]*10000</f>
        <v>0.8522607996961663</v>
      </c>
      <c r="J374">
        <v>8.5226079969616636E-5</v>
      </c>
      <c r="K374" t="s">
        <v>7</v>
      </c>
      <c r="M374" t="s">
        <v>6</v>
      </c>
      <c r="N374">
        <v>351.07872799982471</v>
      </c>
      <c r="O374">
        <f>DTDRpat_result0__3[[#This Row],[gap of angle (rad)2]]*10000</f>
        <v>1.0415292377916807</v>
      </c>
      <c r="P374">
        <v>1.0415292377916807E-4</v>
      </c>
    </row>
    <row r="375" spans="1:16" x14ac:dyDescent="0.3">
      <c r="A375" t="s">
        <v>6</v>
      </c>
      <c r="B375">
        <v>351.07872799982471</v>
      </c>
      <c r="C375">
        <f>DTDRpat_result0_1[[#This Row],[gap of angle (rad)2]]*10000</f>
        <v>0.77406433732947044</v>
      </c>
      <c r="D375">
        <v>7.7406433732947044E-5</v>
      </c>
      <c r="E375">
        <v>671.75989421888437</v>
      </c>
      <c r="G375" t="s">
        <v>6</v>
      </c>
      <c r="H375">
        <v>351.07872799982471</v>
      </c>
      <c r="I375">
        <f>DTDRpat_result0__2[[#This Row],[gap of angle (rad)2]]*10000</f>
        <v>0.84886544010589349</v>
      </c>
      <c r="J375">
        <v>8.4886544010589343E-5</v>
      </c>
      <c r="K375" t="s">
        <v>8</v>
      </c>
      <c r="M375" t="s">
        <v>6</v>
      </c>
      <c r="N375">
        <v>351.07872799982471</v>
      </c>
      <c r="O375">
        <f>DTDRpat_result0__3[[#This Row],[gap of angle (rad)2]]*10000</f>
        <v>1.0365095312245636</v>
      </c>
      <c r="P375">
        <v>1.0365095312245635E-4</v>
      </c>
    </row>
    <row r="376" spans="1:16" x14ac:dyDescent="0.3">
      <c r="A376" t="s">
        <v>6</v>
      </c>
      <c r="B376">
        <v>352.9638909998223</v>
      </c>
      <c r="C376">
        <f>DTDRpat_result0_1[[#This Row],[gap of angle (rad)2]]*10000</f>
        <v>0.77220022850099423</v>
      </c>
      <c r="D376">
        <v>7.7220022850099426E-5</v>
      </c>
      <c r="E376">
        <v>672.56991538522095</v>
      </c>
      <c r="G376" t="s">
        <v>6</v>
      </c>
      <c r="H376">
        <v>352.9638909998223</v>
      </c>
      <c r="I376">
        <f>DTDRpat_result0__2[[#This Row],[gap of angle (rad)2]]*10000</f>
        <v>0.84875364734539716</v>
      </c>
      <c r="J376">
        <v>8.487536473453972E-5</v>
      </c>
      <c r="K376" t="s">
        <v>7</v>
      </c>
      <c r="M376" t="s">
        <v>6</v>
      </c>
      <c r="N376">
        <v>352.9638909998223</v>
      </c>
      <c r="O376">
        <f>DTDRpat_result0__3[[#This Row],[gap of angle (rad)2]]*10000</f>
        <v>1.0400560911635717</v>
      </c>
      <c r="P376">
        <v>1.0400560911635716E-4</v>
      </c>
    </row>
    <row r="377" spans="1:16" x14ac:dyDescent="0.3">
      <c r="A377" t="s">
        <v>6</v>
      </c>
      <c r="B377">
        <v>352.9638909998223</v>
      </c>
      <c r="C377">
        <f>DTDRpat_result0_1[[#This Row],[gap of angle (rad)2]]*10000</f>
        <v>0.7706713320438402</v>
      </c>
      <c r="D377">
        <v>7.7067133204384019E-5</v>
      </c>
      <c r="E377">
        <v>673.23641937446484</v>
      </c>
      <c r="G377" t="s">
        <v>6</v>
      </c>
      <c r="H377">
        <v>352.9638909998223</v>
      </c>
      <c r="I377">
        <f>DTDRpat_result0__2[[#This Row],[gap of angle (rad)2]]*10000</f>
        <v>0.84607882623325192</v>
      </c>
      <c r="J377">
        <v>8.4607882623325187E-5</v>
      </c>
      <c r="K377" t="s">
        <v>8</v>
      </c>
      <c r="M377" t="s">
        <v>6</v>
      </c>
      <c r="N377">
        <v>352.9638909998223</v>
      </c>
      <c r="O377">
        <f>DTDRpat_result0__3[[#This Row],[gap of angle (rad)2]]*10000</f>
        <v>1.0360796135059631</v>
      </c>
      <c r="P377">
        <v>1.0360796135059631E-4</v>
      </c>
    </row>
    <row r="378" spans="1:16" x14ac:dyDescent="0.3">
      <c r="A378" t="s">
        <v>6</v>
      </c>
      <c r="B378">
        <v>354.84905399981989</v>
      </c>
      <c r="C378">
        <f>DTDRpat_result0_1[[#This Row],[gap of angle (rad)2]]*10000</f>
        <v>0.76925150192657465</v>
      </c>
      <c r="D378">
        <v>7.6925150192657464E-5</v>
      </c>
      <c r="E378">
        <v>673.85713249618846</v>
      </c>
      <c r="G378" t="s">
        <v>6</v>
      </c>
      <c r="H378">
        <v>354.84905399981989</v>
      </c>
      <c r="I378">
        <f>DTDRpat_result0__2[[#This Row],[gap of angle (rad)2]]*10000</f>
        <v>0.84599356842723417</v>
      </c>
      <c r="J378">
        <v>8.4599356842723415E-5</v>
      </c>
      <c r="K378" t="s">
        <v>7</v>
      </c>
      <c r="M378" t="s">
        <v>6</v>
      </c>
      <c r="N378">
        <v>354.84905399981989</v>
      </c>
      <c r="O378">
        <f>DTDRpat_result0__3[[#This Row],[gap of angle (rad)2]]*10000</f>
        <v>1.0387988400677437</v>
      </c>
      <c r="P378">
        <v>1.0387988400677437E-4</v>
      </c>
    </row>
    <row r="379" spans="1:16" x14ac:dyDescent="0.3">
      <c r="A379" t="s">
        <v>6</v>
      </c>
      <c r="B379">
        <v>354.84905399981989</v>
      </c>
      <c r="C379">
        <f>DTDRpat_result0_1[[#This Row],[gap of angle (rad)2]]*10000</f>
        <v>0.76813478409311753</v>
      </c>
      <c r="D379">
        <v>7.6813478409311757E-5</v>
      </c>
      <c r="E379">
        <v>674.34647937333034</v>
      </c>
      <c r="G379" t="s">
        <v>6</v>
      </c>
      <c r="H379">
        <v>354.84905399981989</v>
      </c>
      <c r="I379">
        <f>DTDRpat_result0__2[[#This Row],[gap of angle (rad)2]]*10000</f>
        <v>0.84403702298723127</v>
      </c>
      <c r="J379">
        <v>8.4403702298723121E-5</v>
      </c>
      <c r="K379" t="s">
        <v>8</v>
      </c>
      <c r="M379" t="s">
        <v>6</v>
      </c>
      <c r="N379">
        <v>354.84905399981989</v>
      </c>
      <c r="O379">
        <f>DTDRpat_result0__3[[#This Row],[gap of angle (rad)2]]*10000</f>
        <v>1.0358777330820272</v>
      </c>
      <c r="P379">
        <v>1.0358777330820273E-4</v>
      </c>
    </row>
    <row r="380" spans="1:16" x14ac:dyDescent="0.3">
      <c r="A380" t="s">
        <v>6</v>
      </c>
      <c r="B380">
        <v>356.73421699981748</v>
      </c>
      <c r="C380">
        <f>DTDRpat_result0_1[[#This Row],[gap of angle (rad)2]]*10000</f>
        <v>0.7671559625334553</v>
      </c>
      <c r="D380">
        <v>7.6715596253345525E-5</v>
      </c>
      <c r="E380">
        <v>674.77621213595489</v>
      </c>
      <c r="G380" t="s">
        <v>6</v>
      </c>
      <c r="H380">
        <v>356.73421699981748</v>
      </c>
      <c r="I380">
        <f>DTDRpat_result0__2[[#This Row],[gap of angle (rad)2]]*10000</f>
        <v>0.84397815801851539</v>
      </c>
      <c r="J380">
        <v>8.439781580185154E-5</v>
      </c>
      <c r="K380" t="s">
        <v>7</v>
      </c>
      <c r="M380" t="s">
        <v>6</v>
      </c>
      <c r="N380">
        <v>356.73421699981748</v>
      </c>
      <c r="O380">
        <f>DTDRpat_result0__3[[#This Row],[gap of angle (rad)2]]*10000</f>
        <v>1.0377613395834384</v>
      </c>
      <c r="P380">
        <v>1.0377613395834385E-4</v>
      </c>
    </row>
    <row r="381" spans="1:16" x14ac:dyDescent="0.3">
      <c r="A381" t="s">
        <v>6</v>
      </c>
      <c r="B381">
        <v>356.73421699981748</v>
      </c>
      <c r="C381">
        <f>DTDRpat_result0_1[[#This Row],[gap of angle (rad)2]]*10000</f>
        <v>0.76644892878151982</v>
      </c>
      <c r="D381">
        <v>7.6644892878151982E-5</v>
      </c>
      <c r="E381">
        <v>675.08708610512201</v>
      </c>
      <c r="G381" t="s">
        <v>6</v>
      </c>
      <c r="H381">
        <v>356.73421699981748</v>
      </c>
      <c r="I381">
        <f>DTDRpat_result0__2[[#This Row],[gap of angle (rad)2]]*10000</f>
        <v>0.84273810608063393</v>
      </c>
      <c r="J381">
        <v>8.4273810608063391E-5</v>
      </c>
      <c r="K381" t="s">
        <v>8</v>
      </c>
      <c r="M381" t="s">
        <v>6</v>
      </c>
      <c r="N381">
        <v>356.73421699981748</v>
      </c>
      <c r="O381">
        <f>DTDRpat_result0__3[[#This Row],[gap of angle (rad)2]]*10000</f>
        <v>1.0359044734067846</v>
      </c>
      <c r="P381">
        <v>1.0359044734067846E-4</v>
      </c>
    </row>
    <row r="382" spans="1:16" x14ac:dyDescent="0.3">
      <c r="A382" t="s">
        <v>6</v>
      </c>
      <c r="B382">
        <v>358.61937999981501</v>
      </c>
      <c r="C382">
        <f>DTDRpat_result0_1[[#This Row],[gap of angle (rad)2]]*10000</f>
        <v>0.76590894446355462</v>
      </c>
      <c r="D382">
        <v>7.6590894446355466E-5</v>
      </c>
      <c r="E382">
        <v>675.32468488696043</v>
      </c>
      <c r="G382" t="s">
        <v>6</v>
      </c>
      <c r="H382">
        <v>358.61937999981501</v>
      </c>
      <c r="I382">
        <f>DTDRpat_result0__2[[#This Row],[gap of angle (rad)2]]*10000</f>
        <v>0.84270561837496638</v>
      </c>
      <c r="J382">
        <v>8.4270561837496643E-5</v>
      </c>
      <c r="K382" t="s">
        <v>7</v>
      </c>
      <c r="M382" t="s">
        <v>6</v>
      </c>
      <c r="N382">
        <v>358.61937999981501</v>
      </c>
      <c r="O382">
        <f>DTDRpat_result0__3[[#This Row],[gap of angle (rad)2]]*10000</f>
        <v>1.0369467332631195</v>
      </c>
      <c r="P382">
        <v>1.0369467332631196E-4</v>
      </c>
    </row>
    <row r="383" spans="1:16" x14ac:dyDescent="0.3">
      <c r="A383" t="s">
        <v>6</v>
      </c>
      <c r="B383">
        <v>358.61937999981501</v>
      </c>
      <c r="C383">
        <f>DTDRpat_result0_1[[#This Row],[gap of angle (rad)2]]*10000</f>
        <v>0.76560998898490984</v>
      </c>
      <c r="D383">
        <v>7.656099889849098E-5</v>
      </c>
      <c r="E383">
        <v>675.45625249598595</v>
      </c>
      <c r="G383" t="s">
        <v>6</v>
      </c>
      <c r="H383">
        <v>358.61937999981501</v>
      </c>
      <c r="I383">
        <f>DTDRpat_result0__2[[#This Row],[gap of angle (rad)2]]*10000</f>
        <v>0.84218089888142167</v>
      </c>
      <c r="J383">
        <v>8.4218089888142162E-5</v>
      </c>
      <c r="K383" t="s">
        <v>8</v>
      </c>
      <c r="M383" t="s">
        <v>6</v>
      </c>
      <c r="N383">
        <v>358.61937999981501</v>
      </c>
      <c r="O383">
        <f>DTDRpat_result0__3[[#This Row],[gap of angle (rad)2]]*10000</f>
        <v>1.0361597417765882</v>
      </c>
      <c r="P383">
        <v>1.0361597417765882E-4</v>
      </c>
    </row>
    <row r="384" spans="1:16" x14ac:dyDescent="0.3">
      <c r="I384">
        <f>DTDRpat_result0__2[[#This Row],[gap of angle (rad)2]]*10000</f>
        <v>0</v>
      </c>
    </row>
    <row r="385" spans="9:9" x14ac:dyDescent="0.3">
      <c r="I385">
        <f>DTDRpat_result0__2[[#This Row],[gap of angle (rad)2]]*10000</f>
        <v>0</v>
      </c>
    </row>
    <row r="386" spans="9:9" x14ac:dyDescent="0.3">
      <c r="I386">
        <f>DTDRpat_result0__2[[#This Row],[gap of angle (rad)2]]*10000</f>
        <v>0</v>
      </c>
    </row>
    <row r="387" spans="9:9" x14ac:dyDescent="0.3">
      <c r="I387">
        <f>DTDRpat_result0__2[[#This Row],[gap of angle (rad)2]]*10000</f>
        <v>0</v>
      </c>
    </row>
    <row r="388" spans="9:9" x14ac:dyDescent="0.3">
      <c r="I388">
        <f>DTDRpat_result0__2[[#This Row],[gap of angle (rad)2]]*10000</f>
        <v>0</v>
      </c>
    </row>
    <row r="389" spans="9:9" x14ac:dyDescent="0.3">
      <c r="I389">
        <f>DTDRpat_result0__2[[#This Row],[gap of angle (rad)2]]*10000</f>
        <v>0</v>
      </c>
    </row>
    <row r="390" spans="9:9" x14ac:dyDescent="0.3">
      <c r="I390">
        <f>DTDRpat_result0__2[[#This Row],[gap of angle (rad)2]]*10000</f>
        <v>0</v>
      </c>
    </row>
    <row r="391" spans="9:9" x14ac:dyDescent="0.3">
      <c r="I391">
        <f>DTDRpat_result0__2[[#This Row],[gap of angle (rad)2]]*10000</f>
        <v>0</v>
      </c>
    </row>
    <row r="392" spans="9:9" x14ac:dyDescent="0.3">
      <c r="I392">
        <f>DTDRpat_result0__2[[#This Row],[gap of angle (rad)2]]*10000</f>
        <v>0</v>
      </c>
    </row>
    <row r="393" spans="9:9" x14ac:dyDescent="0.3">
      <c r="I393">
        <f>DTDRpat_result0__2[[#This Row],[gap of angle (rad)2]]*10000</f>
        <v>0</v>
      </c>
    </row>
    <row r="394" spans="9:9" x14ac:dyDescent="0.3">
      <c r="I394">
        <f>DTDRpat_result0__2[[#This Row],[gap of angle (rad)2]]*10000</f>
        <v>0</v>
      </c>
    </row>
    <row r="395" spans="9:9" x14ac:dyDescent="0.3">
      <c r="I395">
        <f>DTDRpat_result0__2[[#This Row],[gap of angle (rad)2]]*10000</f>
        <v>0</v>
      </c>
    </row>
    <row r="396" spans="9:9" x14ac:dyDescent="0.3">
      <c r="I396">
        <f>DTDRpat_result0__2[[#This Row],[gap of angle (rad)2]]*10000</f>
        <v>0</v>
      </c>
    </row>
    <row r="397" spans="9:9" x14ac:dyDescent="0.3">
      <c r="I397">
        <f>DTDRpat_result0__2[[#This Row],[gap of angle (rad)2]]*10000</f>
        <v>0</v>
      </c>
    </row>
    <row r="398" spans="9:9" x14ac:dyDescent="0.3">
      <c r="I398">
        <f>DTDRpat_result0__2[[#This Row],[gap of angle (rad)2]]*10000</f>
        <v>0</v>
      </c>
    </row>
    <row r="399" spans="9:9" x14ac:dyDescent="0.3">
      <c r="I399">
        <f>DTDRpat_result0__2[[#This Row],[gap of angle (rad)2]]*10000</f>
        <v>0</v>
      </c>
    </row>
    <row r="400" spans="9:9" x14ac:dyDescent="0.3">
      <c r="I400">
        <f>DTDRpat_result0__2[[#This Row],[gap of angle (rad)2]]*10000</f>
        <v>0</v>
      </c>
    </row>
    <row r="401" spans="9:9" x14ac:dyDescent="0.3">
      <c r="I401">
        <f>DTDRpat_result0__2[[#This Row],[gap of angle (rad)2]]*10000</f>
        <v>0</v>
      </c>
    </row>
    <row r="402" spans="9:9" x14ac:dyDescent="0.3">
      <c r="I402">
        <f>DTDRpat_result0__2[[#This Row],[gap of angle (rad)2]]*10000</f>
        <v>0</v>
      </c>
    </row>
    <row r="403" spans="9:9" x14ac:dyDescent="0.3">
      <c r="I403">
        <f>DTDRpat_result0__2[[#This Row],[gap of angle (rad)2]]*10000</f>
        <v>0</v>
      </c>
    </row>
    <row r="404" spans="9:9" x14ac:dyDescent="0.3">
      <c r="I404">
        <f>DTDRpat_result0__2[[#This Row],[gap of angle (rad)2]]*10000</f>
        <v>0</v>
      </c>
    </row>
    <row r="405" spans="9:9" x14ac:dyDescent="0.3">
      <c r="I405">
        <f>DTDRpat_result0__2[[#This Row],[gap of angle (rad)2]]*10000</f>
        <v>0</v>
      </c>
    </row>
    <row r="406" spans="9:9" x14ac:dyDescent="0.3">
      <c r="I406">
        <f>DTDRpat_result0__2[[#This Row],[gap of angle (rad)2]]*10000</f>
        <v>0</v>
      </c>
    </row>
    <row r="407" spans="9:9" x14ac:dyDescent="0.3">
      <c r="I407">
        <f>DTDRpat_result0__2[[#This Row],[gap of angle (rad)2]]*10000</f>
        <v>0</v>
      </c>
    </row>
    <row r="408" spans="9:9" x14ac:dyDescent="0.3">
      <c r="I408">
        <f>DTDRpat_result0__2[[#This Row],[gap of angle (rad)2]]*10000</f>
        <v>0</v>
      </c>
    </row>
    <row r="409" spans="9:9" x14ac:dyDescent="0.3">
      <c r="I409">
        <f>DTDRpat_result0__2[[#This Row],[gap of angle (rad)2]]*10000</f>
        <v>0</v>
      </c>
    </row>
    <row r="410" spans="9:9" x14ac:dyDescent="0.3">
      <c r="I410">
        <f>DTDRpat_result0__2[[#This Row],[gap of angle (rad)2]]*10000</f>
        <v>0</v>
      </c>
    </row>
    <row r="411" spans="9:9" x14ac:dyDescent="0.3">
      <c r="I411">
        <f>DTDRpat_result0__2[[#This Row],[gap of angle (rad)2]]*10000</f>
        <v>0</v>
      </c>
    </row>
    <row r="412" spans="9:9" x14ac:dyDescent="0.3">
      <c r="I412">
        <f>DTDRpat_result0__2[[#This Row],[gap of angle (rad)2]]*10000</f>
        <v>0</v>
      </c>
    </row>
    <row r="413" spans="9:9" x14ac:dyDescent="0.3">
      <c r="I413">
        <f>DTDRpat_result0__2[[#This Row],[gap of angle (rad)2]]*10000</f>
        <v>0</v>
      </c>
    </row>
    <row r="414" spans="9:9" x14ac:dyDescent="0.3">
      <c r="I414">
        <f>DTDRpat_result0__2[[#This Row],[gap of angle (rad)2]]*10000</f>
        <v>0</v>
      </c>
    </row>
    <row r="415" spans="9:9" x14ac:dyDescent="0.3">
      <c r="I415">
        <f>DTDRpat_result0__2[[#This Row],[gap of angle (rad)2]]*10000</f>
        <v>0</v>
      </c>
    </row>
    <row r="416" spans="9:9" x14ac:dyDescent="0.3">
      <c r="I416">
        <f>DTDRpat_result0__2[[#This Row],[gap of angle (rad)2]]*10000</f>
        <v>0</v>
      </c>
    </row>
    <row r="417" spans="9:9" x14ac:dyDescent="0.3">
      <c r="I417">
        <f>DTDRpat_result0__2[[#This Row],[gap of angle (rad)2]]*10000</f>
        <v>0</v>
      </c>
    </row>
    <row r="418" spans="9:9" x14ac:dyDescent="0.3">
      <c r="I418">
        <f>DTDRpat_result0__2[[#This Row],[gap of angle (rad)2]]*10000</f>
        <v>0</v>
      </c>
    </row>
    <row r="419" spans="9:9" x14ac:dyDescent="0.3">
      <c r="I419">
        <f>DTDRpat_result0__2[[#This Row],[gap of angle (rad)2]]*10000</f>
        <v>0</v>
      </c>
    </row>
    <row r="420" spans="9:9" x14ac:dyDescent="0.3">
      <c r="I420">
        <f>DTDRpat_result0__2[[#This Row],[gap of angle (rad)2]]*10000</f>
        <v>0</v>
      </c>
    </row>
    <row r="421" spans="9:9" x14ac:dyDescent="0.3">
      <c r="I421">
        <f>DTDRpat_result0__2[[#This Row],[gap of angle (rad)2]]*10000</f>
        <v>0</v>
      </c>
    </row>
    <row r="422" spans="9:9" x14ac:dyDescent="0.3">
      <c r="I422">
        <f>DTDRpat_result0__2[[#This Row],[gap of angle (rad)2]]*10000</f>
        <v>0</v>
      </c>
    </row>
    <row r="423" spans="9:9" x14ac:dyDescent="0.3">
      <c r="I423">
        <f>DTDRpat_result0__2[[#This Row],[gap of angle (rad)2]]*10000</f>
        <v>0</v>
      </c>
    </row>
    <row r="424" spans="9:9" x14ac:dyDescent="0.3">
      <c r="I424">
        <f>DTDRpat_result0__2[[#This Row],[gap of angle (rad)2]]*10000</f>
        <v>0</v>
      </c>
    </row>
    <row r="425" spans="9:9" x14ac:dyDescent="0.3">
      <c r="I425">
        <f>DTDRpat_result0__2[[#This Row],[gap of angle (rad)2]]*10000</f>
        <v>0</v>
      </c>
    </row>
    <row r="426" spans="9:9" x14ac:dyDescent="0.3">
      <c r="I426">
        <f>DTDRpat_result0__2[[#This Row],[gap of angle (rad)2]]*10000</f>
        <v>0</v>
      </c>
    </row>
    <row r="427" spans="9:9" x14ac:dyDescent="0.3">
      <c r="I427">
        <f>DTDRpat_result0__2[[#This Row],[gap of angle (rad)2]]*10000</f>
        <v>0</v>
      </c>
    </row>
  </sheetData>
  <phoneticPr fontId="18" type="noConversion"/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F3952-3BF3-4956-A8B7-BB8F3F785A79}">
  <dimension ref="A1:K401"/>
  <sheetViews>
    <sheetView topLeftCell="L34" zoomScale="130" zoomScaleNormal="130" workbookViewId="0">
      <selection activeCell="Y47" sqref="Y47"/>
    </sheetView>
  </sheetViews>
  <sheetFormatPr defaultRowHeight="16.5" x14ac:dyDescent="0.3"/>
  <cols>
    <col min="3" max="3" width="12.75" style="4" bestFit="1" customWidth="1"/>
    <col min="8" max="8" width="8.25" bestFit="1" customWidth="1"/>
    <col min="9" max="9" width="11.625" bestFit="1" customWidth="1"/>
    <col min="10" max="10" width="11.625" customWidth="1"/>
    <col min="11" max="11" width="20.375" bestFit="1" customWidth="1"/>
  </cols>
  <sheetData>
    <row r="1" spans="1:11" x14ac:dyDescent="0.3">
      <c r="A1" t="s">
        <v>0</v>
      </c>
      <c r="B1" t="s">
        <v>1</v>
      </c>
      <c r="C1" s="4" t="s">
        <v>14</v>
      </c>
      <c r="D1" t="s">
        <v>3</v>
      </c>
      <c r="E1" t="s">
        <v>4</v>
      </c>
      <c r="F1" t="s">
        <v>5</v>
      </c>
      <c r="H1" t="s">
        <v>0</v>
      </c>
      <c r="I1" t="s">
        <v>1</v>
      </c>
      <c r="J1" t="s">
        <v>13</v>
      </c>
      <c r="K1" t="s">
        <v>11</v>
      </c>
    </row>
    <row r="2" spans="1:11" x14ac:dyDescent="0.3">
      <c r="A2" t="s">
        <v>6</v>
      </c>
      <c r="B2">
        <v>6.2630000000000003E-3</v>
      </c>
      <c r="C2" s="4">
        <f>D2*10000</f>
        <v>0.94524748808722792</v>
      </c>
      <c r="D2" s="1">
        <v>9.4524748808722797E-5</v>
      </c>
      <c r="E2">
        <v>0</v>
      </c>
      <c r="F2">
        <v>959.18801781898605</v>
      </c>
      <c r="H2" t="s">
        <v>6</v>
      </c>
      <c r="I2">
        <v>6.2630000000000012E-3</v>
      </c>
      <c r="J2">
        <f>DTDRpat_result0[[#This Row],[gap of angle (rad)2]]*10000</f>
        <v>0.65784382330566116</v>
      </c>
      <c r="K2">
        <v>6.5784382330566111E-5</v>
      </c>
    </row>
    <row r="3" spans="1:11" x14ac:dyDescent="0.3">
      <c r="A3" t="s">
        <v>6</v>
      </c>
      <c r="B3">
        <v>6.2630000000000003E-3</v>
      </c>
      <c r="C3" s="4">
        <f t="shared" ref="C3:C66" si="0">D3*10000</f>
        <v>0.94524923813766293</v>
      </c>
      <c r="D3" s="1">
        <v>9.4524923813766294E-5</v>
      </c>
      <c r="E3">
        <v>0</v>
      </c>
      <c r="F3">
        <v>959.18623233933602</v>
      </c>
      <c r="H3" t="s">
        <v>6</v>
      </c>
      <c r="I3">
        <v>6.2630000000000012E-3</v>
      </c>
      <c r="J3">
        <f>DTDRpat_result0[[#This Row],[gap of angle (rad)2]]*10000</f>
        <v>0.65784385705905224</v>
      </c>
      <c r="K3">
        <v>6.5784385705905222E-5</v>
      </c>
    </row>
    <row r="4" spans="1:11" x14ac:dyDescent="0.3">
      <c r="A4" t="s">
        <v>6</v>
      </c>
      <c r="B4">
        <v>1.8851629999999999</v>
      </c>
      <c r="C4" s="4">
        <f t="shared" si="0"/>
        <v>0.94497717797524594</v>
      </c>
      <c r="D4" s="1">
        <v>9.4497717797524598E-5</v>
      </c>
      <c r="E4">
        <v>30000</v>
      </c>
      <c r="F4">
        <v>959.32477098192305</v>
      </c>
      <c r="H4" t="s">
        <v>6</v>
      </c>
      <c r="I4">
        <v>1.8851630000000021</v>
      </c>
      <c r="J4">
        <f>DTDRpat_result0[[#This Row],[gap of angle (rad)2]]*10000</f>
        <v>0.65829667171449358</v>
      </c>
      <c r="K4">
        <v>6.5829667171449363E-5</v>
      </c>
    </row>
    <row r="5" spans="1:11" x14ac:dyDescent="0.3">
      <c r="A5" t="s">
        <v>6</v>
      </c>
      <c r="B5">
        <v>1.8851629999999999</v>
      </c>
      <c r="C5" s="4">
        <f t="shared" si="0"/>
        <v>0.94603444901559697</v>
      </c>
      <c r="D5" s="1">
        <v>9.46034449015597E-5</v>
      </c>
      <c r="E5">
        <v>30000</v>
      </c>
      <c r="F5">
        <v>958.78765608007097</v>
      </c>
      <c r="H5" t="s">
        <v>6</v>
      </c>
      <c r="I5">
        <v>1.8851630000000021</v>
      </c>
      <c r="J5">
        <f>DTDRpat_result0[[#This Row],[gap of angle (rad)2]]*10000</f>
        <v>0.65829668857957979</v>
      </c>
      <c r="K5">
        <v>6.5829668857957975E-5</v>
      </c>
    </row>
    <row r="6" spans="1:11" x14ac:dyDescent="0.3">
      <c r="A6" t="s">
        <v>6</v>
      </c>
      <c r="B6">
        <v>3.7891150000000402</v>
      </c>
      <c r="C6" s="4">
        <f t="shared" si="0"/>
        <v>0.94522700403451099</v>
      </c>
      <c r="D6" s="1">
        <v>9.4522700403451099E-5</v>
      </c>
      <c r="E6">
        <v>60400</v>
      </c>
      <c r="F6">
        <v>959.19754429903196</v>
      </c>
      <c r="H6" t="s">
        <v>6</v>
      </c>
      <c r="I6">
        <v>3.7891150000000429</v>
      </c>
      <c r="J6">
        <f>DTDRpat_result0[[#This Row],[gap of angle (rad)2]]*10000</f>
        <v>0.65967827702851223</v>
      </c>
      <c r="K6">
        <v>6.5967827702851219E-5</v>
      </c>
    </row>
    <row r="7" spans="1:11" x14ac:dyDescent="0.3">
      <c r="A7" t="s">
        <v>6</v>
      </c>
      <c r="B7">
        <v>3.7891150000000402</v>
      </c>
      <c r="C7" s="4">
        <f t="shared" si="0"/>
        <v>0.94735275834575794</v>
      </c>
      <c r="D7" s="1">
        <v>9.4735275834575795E-5</v>
      </c>
      <c r="E7">
        <v>60400</v>
      </c>
      <c r="F7">
        <v>958.11988222637001</v>
      </c>
      <c r="H7" t="s">
        <v>6</v>
      </c>
      <c r="I7">
        <v>3.7891150000000429</v>
      </c>
      <c r="J7">
        <f>DTDRpat_result0[[#This Row],[gap of angle (rad)2]]*10000</f>
        <v>0.65967832751780453</v>
      </c>
      <c r="K7">
        <v>6.5967832751780457E-5</v>
      </c>
    </row>
    <row r="8" spans="1:11" x14ac:dyDescent="0.3">
      <c r="A8" t="s">
        <v>6</v>
      </c>
      <c r="B8">
        <v>5.6680149999999898</v>
      </c>
      <c r="C8" s="4">
        <f t="shared" si="0"/>
        <v>0.94599014629422007</v>
      </c>
      <c r="D8" s="1">
        <v>9.4599014629422003E-5</v>
      </c>
      <c r="E8">
        <v>90400</v>
      </c>
      <c r="F8">
        <v>958.81012848352202</v>
      </c>
      <c r="H8" t="s">
        <v>6</v>
      </c>
      <c r="I8">
        <v>5.6680149999999898</v>
      </c>
      <c r="J8">
        <f>DTDRpat_result0[[#This Row],[gap of angle (rad)2]]*10000</f>
        <v>0.66195768365802532</v>
      </c>
      <c r="K8">
        <v>6.6195768365802528E-5</v>
      </c>
    </row>
    <row r="9" spans="1:11" x14ac:dyDescent="0.3">
      <c r="A9" t="s">
        <v>6</v>
      </c>
      <c r="B9">
        <v>5.6680149999999898</v>
      </c>
      <c r="C9" s="4">
        <f t="shared" si="0"/>
        <v>0.949168048206669</v>
      </c>
      <c r="D9" s="1">
        <v>9.4916804820666895E-5</v>
      </c>
      <c r="E9">
        <v>90400</v>
      </c>
      <c r="F9">
        <v>957.20281248851404</v>
      </c>
      <c r="H9" t="s">
        <v>6</v>
      </c>
      <c r="I9">
        <v>5.6680149999999898</v>
      </c>
      <c r="J9">
        <f>DTDRpat_result0[[#This Row],[gap of angle (rad)2]]*10000</f>
        <v>0.66195765011439911</v>
      </c>
      <c r="K9">
        <v>6.619576501143991E-5</v>
      </c>
    </row>
    <row r="10" spans="1:11" x14ac:dyDescent="0.3">
      <c r="A10" t="s">
        <v>6</v>
      </c>
      <c r="B10">
        <v>7.5657039999999798</v>
      </c>
      <c r="C10" s="4">
        <f t="shared" si="0"/>
        <v>0.94728102231726308</v>
      </c>
      <c r="D10" s="1">
        <v>9.4728102231726304E-5</v>
      </c>
      <c r="E10">
        <v>120700</v>
      </c>
      <c r="F10">
        <v>958.15617664475701</v>
      </c>
      <c r="H10" t="s">
        <v>6</v>
      </c>
      <c r="I10">
        <v>7.5657039999999816</v>
      </c>
      <c r="J10">
        <f>DTDRpat_result0[[#This Row],[gap of angle (rad)2]]*10000</f>
        <v>0.66519264262482303</v>
      </c>
      <c r="K10">
        <v>6.6519264262482304E-5</v>
      </c>
    </row>
    <row r="11" spans="1:11" x14ac:dyDescent="0.3">
      <c r="A11" t="s">
        <v>6</v>
      </c>
      <c r="B11">
        <v>7.5657039999999798</v>
      </c>
      <c r="C11" s="4">
        <f t="shared" si="0"/>
        <v>0.95151806762449498</v>
      </c>
      <c r="D11" s="1">
        <v>9.51518067624495E-5</v>
      </c>
      <c r="E11">
        <v>120700</v>
      </c>
      <c r="F11">
        <v>956.01962570270496</v>
      </c>
      <c r="H11" t="s">
        <v>6</v>
      </c>
      <c r="I11">
        <v>7.5657039999999816</v>
      </c>
      <c r="J11">
        <f>DTDRpat_result0[[#This Row],[gap of angle (rad)2]]*10000</f>
        <v>0.66519260924432588</v>
      </c>
      <c r="K11">
        <v>6.6519260924432591E-5</v>
      </c>
    </row>
    <row r="12" spans="1:11" x14ac:dyDescent="0.3">
      <c r="A12" t="s">
        <v>6</v>
      </c>
      <c r="B12">
        <v>9.4508670000001302</v>
      </c>
      <c r="C12" s="4">
        <f t="shared" si="0"/>
        <v>0.94907952268458395</v>
      </c>
      <c r="D12" s="1">
        <v>9.4907952268458401E-5</v>
      </c>
      <c r="E12">
        <v>150800</v>
      </c>
      <c r="F12">
        <v>957.24747671569605</v>
      </c>
      <c r="H12" t="s">
        <v>6</v>
      </c>
      <c r="I12">
        <v>9.4508670000001374</v>
      </c>
      <c r="J12">
        <f>DTDRpat_result0[[#This Row],[gap of angle (rad)2]]*10000</f>
        <v>0.66934705762159208</v>
      </c>
      <c r="K12">
        <v>6.6934705762159211E-5</v>
      </c>
    </row>
    <row r="13" spans="1:11" x14ac:dyDescent="0.3">
      <c r="A13" t="s">
        <v>6</v>
      </c>
      <c r="B13">
        <v>9.4508670000001302</v>
      </c>
      <c r="C13" s="4">
        <f t="shared" si="0"/>
        <v>0.95436392135500703</v>
      </c>
      <c r="D13" s="1">
        <v>9.5436392135500706E-5</v>
      </c>
      <c r="E13">
        <v>150800</v>
      </c>
      <c r="F13">
        <v>954.592751575232</v>
      </c>
      <c r="H13" t="s">
        <v>6</v>
      </c>
      <c r="I13">
        <v>9.4508670000001374</v>
      </c>
      <c r="J13">
        <f>DTDRpat_result0[[#This Row],[gap of angle (rad)2]]*10000</f>
        <v>0.66934705762159208</v>
      </c>
      <c r="K13">
        <v>6.6934705762159211E-5</v>
      </c>
    </row>
    <row r="14" spans="1:11" x14ac:dyDescent="0.3">
      <c r="A14" t="s">
        <v>6</v>
      </c>
      <c r="B14">
        <v>11.329767000000301</v>
      </c>
      <c r="C14" s="4">
        <f t="shared" si="0"/>
        <v>0.95138190500238895</v>
      </c>
      <c r="D14" s="1">
        <v>9.5138190500238898E-5</v>
      </c>
      <c r="E14">
        <v>180800</v>
      </c>
      <c r="F14">
        <v>956.08806350428199</v>
      </c>
      <c r="H14" t="s">
        <v>6</v>
      </c>
      <c r="I14">
        <v>11.329767000000343</v>
      </c>
      <c r="J14">
        <f>DTDRpat_result0[[#This Row],[gap of angle (rad)2]]*10000</f>
        <v>0.67443705826558786</v>
      </c>
      <c r="K14">
        <v>6.7443705826558792E-5</v>
      </c>
    </row>
    <row r="15" spans="1:11" x14ac:dyDescent="0.3">
      <c r="A15" t="s">
        <v>6</v>
      </c>
      <c r="B15">
        <v>11.329767000000301</v>
      </c>
      <c r="C15" s="4">
        <f t="shared" si="0"/>
        <v>0.95770408736538903</v>
      </c>
      <c r="D15" s="1">
        <v>9.5770408736538904E-5</v>
      </c>
      <c r="E15">
        <v>180800</v>
      </c>
      <c r="F15">
        <v>952.92624540352006</v>
      </c>
      <c r="H15" t="s">
        <v>6</v>
      </c>
      <c r="I15">
        <v>11.329767000000343</v>
      </c>
      <c r="J15">
        <f>DTDRpat_result0[[#This Row],[gap of angle (rad)2]]*10000</f>
        <v>0.67443704180411057</v>
      </c>
      <c r="K15">
        <v>6.7443704180411055E-5</v>
      </c>
    </row>
    <row r="16" spans="1:11" x14ac:dyDescent="0.3">
      <c r="A16" t="s">
        <v>6</v>
      </c>
      <c r="B16">
        <v>13.208667000000499</v>
      </c>
      <c r="C16" s="4">
        <f t="shared" si="0"/>
        <v>0.95419071174256909</v>
      </c>
      <c r="D16" s="1">
        <v>9.5419071174256907E-5</v>
      </c>
      <c r="E16">
        <v>210800</v>
      </c>
      <c r="F16">
        <v>954.67941699267396</v>
      </c>
      <c r="H16" t="s">
        <v>6</v>
      </c>
      <c r="I16">
        <v>13.208667000000569</v>
      </c>
      <c r="J16">
        <f>DTDRpat_result0[[#This Row],[gap of angle (rad)2]]*10000</f>
        <v>0.68049469105139082</v>
      </c>
      <c r="K16">
        <v>6.8049469105139077E-5</v>
      </c>
    </row>
    <row r="17" spans="1:11" x14ac:dyDescent="0.3">
      <c r="A17" t="s">
        <v>6</v>
      </c>
      <c r="B17">
        <v>13.208667000000499</v>
      </c>
      <c r="C17" s="4">
        <f t="shared" si="0"/>
        <v>0.96154300925095504</v>
      </c>
      <c r="D17" s="1">
        <v>9.6154300925095499E-5</v>
      </c>
      <c r="E17">
        <v>210800</v>
      </c>
      <c r="F17">
        <v>951.02168326573201</v>
      </c>
      <c r="H17" t="s">
        <v>6</v>
      </c>
      <c r="I17">
        <v>13.208667000000569</v>
      </c>
      <c r="J17">
        <f>DTDRpat_result0[[#This Row],[gap of angle (rad)2]]*10000</f>
        <v>0.68049470736633089</v>
      </c>
      <c r="K17">
        <v>6.804947073663309E-5</v>
      </c>
    </row>
    <row r="18" spans="1:11" x14ac:dyDescent="0.3">
      <c r="A18" t="s">
        <v>6</v>
      </c>
      <c r="B18">
        <v>15.1063560000007</v>
      </c>
      <c r="C18" s="4">
        <f t="shared" si="0"/>
        <v>0.95753826480066206</v>
      </c>
      <c r="D18" s="1">
        <v>9.5753826480066205E-5</v>
      </c>
      <c r="E18">
        <v>241100</v>
      </c>
      <c r="F18">
        <v>953.00876056451398</v>
      </c>
      <c r="H18" t="s">
        <v>6</v>
      </c>
      <c r="I18">
        <v>15.106356000000735</v>
      </c>
      <c r="J18">
        <f>DTDRpat_result0[[#This Row],[gap of angle (rad)2]]*10000</f>
        <v>0.68761918151225554</v>
      </c>
      <c r="K18">
        <v>6.8761918151225555E-5</v>
      </c>
    </row>
    <row r="19" spans="1:11" x14ac:dyDescent="0.3">
      <c r="A19" t="s">
        <v>6</v>
      </c>
      <c r="B19">
        <v>15.1063560000007</v>
      </c>
      <c r="C19" s="4">
        <f t="shared" si="0"/>
        <v>0.96592152144339105</v>
      </c>
      <c r="D19" s="1">
        <v>9.6592152144339105E-5</v>
      </c>
      <c r="E19">
        <v>241100</v>
      </c>
      <c r="F19">
        <v>948.86334685535201</v>
      </c>
      <c r="H19" t="s">
        <v>6</v>
      </c>
      <c r="I19">
        <v>15.106356000000735</v>
      </c>
      <c r="J19">
        <f>DTDRpat_result0[[#This Row],[gap of angle (rad)2]]*10000</f>
        <v>0.68761918151225554</v>
      </c>
      <c r="K19">
        <v>6.8761918151225555E-5</v>
      </c>
    </row>
    <row r="20" spans="1:11" x14ac:dyDescent="0.3">
      <c r="A20" t="s">
        <v>6</v>
      </c>
      <c r="B20">
        <v>16.9915190000008</v>
      </c>
      <c r="C20" s="4">
        <f t="shared" si="0"/>
        <v>0.961367744069618</v>
      </c>
      <c r="D20" s="1">
        <v>9.6136774406961804E-5</v>
      </c>
      <c r="E20">
        <v>271200</v>
      </c>
      <c r="F20">
        <v>951.10838065106498</v>
      </c>
      <c r="H20" t="s">
        <v>6</v>
      </c>
      <c r="I20">
        <v>16.991519000000864</v>
      </c>
      <c r="J20">
        <f>DTDRpat_result0[[#This Row],[gap of angle (rad)2]]*10000</f>
        <v>0.69572556189567658</v>
      </c>
      <c r="K20">
        <v>6.9572556189567659E-5</v>
      </c>
    </row>
    <row r="21" spans="1:11" x14ac:dyDescent="0.3">
      <c r="A21" t="s">
        <v>6</v>
      </c>
      <c r="B21">
        <v>16.9915190000008</v>
      </c>
      <c r="C21" s="4">
        <f t="shared" si="0"/>
        <v>0.97076386618997201</v>
      </c>
      <c r="D21" s="1">
        <v>9.7076386618997196E-5</v>
      </c>
      <c r="E21">
        <v>271200</v>
      </c>
      <c r="F21">
        <v>946.49345876672805</v>
      </c>
      <c r="H21" t="s">
        <v>6</v>
      </c>
      <c r="I21">
        <v>16.991519000000864</v>
      </c>
      <c r="J21">
        <f>DTDRpat_result0[[#This Row],[gap of angle (rad)2]]*10000</f>
        <v>0.69572556189567658</v>
      </c>
      <c r="K21">
        <v>6.9572556189567659E-5</v>
      </c>
    </row>
    <row r="22" spans="1:11" x14ac:dyDescent="0.3">
      <c r="A22" t="s">
        <v>6</v>
      </c>
      <c r="B22">
        <v>18.920523000001001</v>
      </c>
      <c r="C22" s="4">
        <f t="shared" si="0"/>
        <v>0.965801046094242</v>
      </c>
      <c r="D22" s="1">
        <v>9.6580104609424205E-5</v>
      </c>
      <c r="E22">
        <v>302000</v>
      </c>
      <c r="F22">
        <v>948.92254171956802</v>
      </c>
      <c r="H22" t="s">
        <v>6</v>
      </c>
      <c r="I22">
        <v>18.920523000001062</v>
      </c>
      <c r="J22">
        <f>DTDRpat_result0[[#This Row],[gap of angle (rad)2]]*10000</f>
        <v>0.7051148863024429</v>
      </c>
      <c r="K22">
        <v>7.0511488630244288E-5</v>
      </c>
    </row>
    <row r="23" spans="1:11" x14ac:dyDescent="0.3">
      <c r="A23" t="s">
        <v>6</v>
      </c>
      <c r="B23">
        <v>18.920523000001001</v>
      </c>
      <c r="C23" s="4">
        <f t="shared" si="0"/>
        <v>0.97621979995106301</v>
      </c>
      <c r="D23" s="1">
        <v>9.7621979995106298E-5</v>
      </c>
      <c r="E23">
        <v>302000</v>
      </c>
      <c r="F23">
        <v>943.84449460701796</v>
      </c>
      <c r="H23" t="s">
        <v>6</v>
      </c>
      <c r="I23">
        <v>18.920523000001062</v>
      </c>
      <c r="J23">
        <f>DTDRpat_result0[[#This Row],[gap of angle (rad)2]]*10000</f>
        <v>0.7051148863024429</v>
      </c>
      <c r="K23">
        <v>7.0511488630244288E-5</v>
      </c>
    </row>
    <row r="24" spans="1:11" x14ac:dyDescent="0.3">
      <c r="A24" t="s">
        <v>6</v>
      </c>
      <c r="B24">
        <v>20.830738000001201</v>
      </c>
      <c r="C24" s="4">
        <f t="shared" si="0"/>
        <v>0.97069805780903196</v>
      </c>
      <c r="D24" s="1">
        <v>9.7069805780903198E-5</v>
      </c>
      <c r="E24">
        <v>332500</v>
      </c>
      <c r="F24">
        <v>946.52555745074699</v>
      </c>
      <c r="H24" t="s">
        <v>6</v>
      </c>
      <c r="I24">
        <v>20.830738000001276</v>
      </c>
      <c r="J24">
        <f>DTDRpat_result0[[#This Row],[gap of angle (rad)2]]*10000</f>
        <v>0.71554051025484322</v>
      </c>
      <c r="K24">
        <v>7.155405102548432E-5</v>
      </c>
    </row>
    <row r="25" spans="1:11" x14ac:dyDescent="0.3">
      <c r="A25" t="s">
        <v>6</v>
      </c>
      <c r="B25">
        <v>20.830738000001201</v>
      </c>
      <c r="C25" s="4">
        <f t="shared" si="0"/>
        <v>0.98211321998968393</v>
      </c>
      <c r="D25" s="1">
        <v>9.8211321998968395E-5</v>
      </c>
      <c r="E25">
        <v>332500</v>
      </c>
      <c r="F25">
        <v>941.00798702465897</v>
      </c>
      <c r="H25" t="s">
        <v>6</v>
      </c>
      <c r="I25">
        <v>20.830738000001276</v>
      </c>
      <c r="J25">
        <f>DTDRpat_result0[[#This Row],[gap of angle (rad)2]]*10000</f>
        <v>0.71554052577070848</v>
      </c>
      <c r="K25">
        <v>7.1554052577070843E-5</v>
      </c>
    </row>
    <row r="26" spans="1:11" x14ac:dyDescent="0.3">
      <c r="A26" t="s">
        <v>6</v>
      </c>
      <c r="B26">
        <v>22.7346900000014</v>
      </c>
      <c r="C26" s="4">
        <f t="shared" si="0"/>
        <v>0.97607360464304593</v>
      </c>
      <c r="D26" s="1">
        <v>9.7607360464304594E-5</v>
      </c>
      <c r="E26">
        <v>362900</v>
      </c>
      <c r="F26">
        <v>943.91517707695095</v>
      </c>
      <c r="H26" t="s">
        <v>6</v>
      </c>
      <c r="I26">
        <v>22.734690000001489</v>
      </c>
      <c r="J26">
        <f>DTDRpat_result0[[#This Row],[gap of angle (rad)2]]*10000</f>
        <v>0.72708923898293709</v>
      </c>
      <c r="K26">
        <v>7.2708923898293708E-5</v>
      </c>
    </row>
    <row r="27" spans="1:11" x14ac:dyDescent="0.3">
      <c r="A27" t="s">
        <v>6</v>
      </c>
      <c r="B27">
        <v>22.7346900000014</v>
      </c>
      <c r="C27" s="4">
        <f t="shared" si="0"/>
        <v>0.98846317906143399</v>
      </c>
      <c r="D27" s="1">
        <v>9.8846317906143395E-5</v>
      </c>
      <c r="E27">
        <v>362900</v>
      </c>
      <c r="F27">
        <v>937.98023016223601</v>
      </c>
      <c r="H27" t="s">
        <v>6</v>
      </c>
      <c r="I27">
        <v>22.734690000001489</v>
      </c>
      <c r="J27">
        <f>DTDRpat_result0[[#This Row],[gap of angle (rad)2]]*10000</f>
        <v>0.72708923898293709</v>
      </c>
      <c r="K27">
        <v>7.2708923898293708E-5</v>
      </c>
    </row>
    <row r="28" spans="1:11" x14ac:dyDescent="0.3">
      <c r="A28" t="s">
        <v>6</v>
      </c>
      <c r="B28">
        <v>24.632379000001698</v>
      </c>
      <c r="C28" s="4">
        <f t="shared" si="0"/>
        <v>0.98191438885026805</v>
      </c>
      <c r="D28" s="1">
        <v>9.81914388850268E-5</v>
      </c>
      <c r="E28">
        <v>393200</v>
      </c>
      <c r="F28">
        <v>941.10326936082402</v>
      </c>
      <c r="H28" t="s">
        <v>6</v>
      </c>
      <c r="I28">
        <v>24.632379000001709</v>
      </c>
      <c r="J28">
        <f>DTDRpat_result0[[#This Row],[gap of angle (rad)2]]*10000</f>
        <v>0.73979373159868667</v>
      </c>
      <c r="K28">
        <v>7.3979373159868664E-5</v>
      </c>
    </row>
    <row r="29" spans="1:11" x14ac:dyDescent="0.3">
      <c r="A29" t="s">
        <v>6</v>
      </c>
      <c r="B29">
        <v>24.632379000001698</v>
      </c>
      <c r="C29" s="4">
        <f t="shared" si="0"/>
        <v>0.99525356523518005</v>
      </c>
      <c r="D29" s="1">
        <v>9.9525356523518004E-5</v>
      </c>
      <c r="E29">
        <v>393200</v>
      </c>
      <c r="F29">
        <v>934.77463278109099</v>
      </c>
      <c r="H29" t="s">
        <v>6</v>
      </c>
      <c r="I29">
        <v>24.632379000001709</v>
      </c>
      <c r="J29">
        <f>DTDRpat_result0[[#This Row],[gap of angle (rad)2]]*10000</f>
        <v>0.73979373159868667</v>
      </c>
      <c r="K29">
        <v>7.3979373159868664E-5</v>
      </c>
    </row>
    <row r="30" spans="1:11" x14ac:dyDescent="0.3">
      <c r="A30" t="s">
        <v>6</v>
      </c>
      <c r="B30">
        <v>26.530068000001901</v>
      </c>
      <c r="C30" s="4">
        <f t="shared" si="0"/>
        <v>0.98822744019359299</v>
      </c>
      <c r="D30" s="1">
        <v>9.8822744019359303E-5</v>
      </c>
      <c r="E30">
        <v>423500</v>
      </c>
      <c r="F30">
        <v>938.092110523668</v>
      </c>
      <c r="H30" t="s">
        <v>6</v>
      </c>
      <c r="I30">
        <v>26.530068000001961</v>
      </c>
      <c r="J30">
        <f>DTDRpat_result0[[#This Row],[gap of angle (rad)2]]*10000</f>
        <v>0.75373774967259799</v>
      </c>
      <c r="K30">
        <v>7.5373774967259796E-5</v>
      </c>
    </row>
    <row r="31" spans="1:11" x14ac:dyDescent="0.3">
      <c r="A31" t="s">
        <v>6</v>
      </c>
      <c r="B31">
        <v>26.530068000001901</v>
      </c>
      <c r="C31" s="4">
        <f t="shared" si="0"/>
        <v>1.0024913652279299</v>
      </c>
      <c r="D31">
        <v>1.00249136522793E-4</v>
      </c>
      <c r="E31">
        <v>423500</v>
      </c>
      <c r="F31">
        <v>931.39375782757702</v>
      </c>
      <c r="H31" t="s">
        <v>6</v>
      </c>
      <c r="I31">
        <v>26.530068000001961</v>
      </c>
      <c r="J31">
        <f>DTDRpat_result0[[#This Row],[gap of angle (rad)2]]*10000</f>
        <v>0.7537377054838974</v>
      </c>
      <c r="K31">
        <v>7.5373770548389741E-5</v>
      </c>
    </row>
    <row r="32" spans="1:11" x14ac:dyDescent="0.3">
      <c r="A32" t="s">
        <v>6</v>
      </c>
      <c r="B32">
        <v>28.408968000002201</v>
      </c>
      <c r="C32" s="4">
        <f t="shared" si="0"/>
        <v>0.99493217729819894</v>
      </c>
      <c r="D32" s="1">
        <v>9.9493217729819896E-5</v>
      </c>
      <c r="E32">
        <v>453500</v>
      </c>
      <c r="F32">
        <v>934.92560585364095</v>
      </c>
      <c r="H32" t="s">
        <v>6</v>
      </c>
      <c r="I32">
        <v>28.408968000002208</v>
      </c>
      <c r="J32">
        <f>DTDRpat_result0[[#This Row],[gap of angle (rad)2]]*10000</f>
        <v>0.76881511222390919</v>
      </c>
      <c r="K32">
        <v>7.6881511222390915E-5</v>
      </c>
    </row>
    <row r="33" spans="1:11" x14ac:dyDescent="0.3">
      <c r="A33" t="s">
        <v>6</v>
      </c>
      <c r="B33">
        <v>28.408968000002201</v>
      </c>
      <c r="C33" s="4">
        <f t="shared" si="0"/>
        <v>1.0100837495571</v>
      </c>
      <c r="D33">
        <v>1.0100837495571E-4</v>
      </c>
      <c r="E33">
        <v>453500</v>
      </c>
      <c r="F33">
        <v>927.88643482952</v>
      </c>
      <c r="H33" t="s">
        <v>6</v>
      </c>
      <c r="I33">
        <v>28.408968000002208</v>
      </c>
      <c r="J33">
        <f>DTDRpat_result0[[#This Row],[gap of angle (rad)2]]*10000</f>
        <v>0.76881515554601521</v>
      </c>
      <c r="K33">
        <v>7.6881515554601517E-5</v>
      </c>
    </row>
    <row r="34" spans="1:11" x14ac:dyDescent="0.3">
      <c r="A34" t="s">
        <v>6</v>
      </c>
      <c r="B34">
        <v>30.3003940000022</v>
      </c>
      <c r="C34" s="4">
        <f t="shared" si="0"/>
        <v>1.0021252372424398</v>
      </c>
      <c r="D34">
        <v>1.0021252372424399E-4</v>
      </c>
      <c r="E34">
        <v>483700</v>
      </c>
      <c r="F34">
        <v>931.56390011941301</v>
      </c>
      <c r="H34" t="s">
        <v>6</v>
      </c>
      <c r="I34">
        <v>30.300394000002274</v>
      </c>
      <c r="J34">
        <f>DTDRpat_result0[[#This Row],[gap of angle (rad)2]]*10000</f>
        <v>0.78532481390585118</v>
      </c>
      <c r="K34">
        <v>7.8532481390585122E-5</v>
      </c>
    </row>
    <row r="35" spans="1:11" x14ac:dyDescent="0.3">
      <c r="A35" t="s">
        <v>6</v>
      </c>
      <c r="B35">
        <v>30.3003940000022</v>
      </c>
      <c r="C35" s="4">
        <f t="shared" si="0"/>
        <v>1.01813835664629</v>
      </c>
      <c r="D35">
        <v>1.01813835664629E-4</v>
      </c>
      <c r="E35">
        <v>483700</v>
      </c>
      <c r="F35">
        <v>924.20857529041098</v>
      </c>
      <c r="H35" t="s">
        <v>6</v>
      </c>
      <c r="I35">
        <v>30.300394000002274</v>
      </c>
      <c r="J35">
        <f>DTDRpat_result0[[#This Row],[gap of angle (rad)2]]*10000</f>
        <v>0.78532484218008847</v>
      </c>
      <c r="K35">
        <v>7.8532484218008842E-5</v>
      </c>
    </row>
    <row r="36" spans="1:11" x14ac:dyDescent="0.3">
      <c r="A36" t="s">
        <v>6</v>
      </c>
      <c r="B36">
        <v>32.191820000002203</v>
      </c>
      <c r="C36" s="4">
        <f t="shared" si="0"/>
        <v>1.0097488081775099</v>
      </c>
      <c r="D36">
        <v>1.00974880817751E-4</v>
      </c>
      <c r="E36">
        <v>513900</v>
      </c>
      <c r="F36">
        <v>928.04033030849303</v>
      </c>
      <c r="H36" t="s">
        <v>6</v>
      </c>
      <c r="I36">
        <v>32.191820000002224</v>
      </c>
      <c r="J36">
        <f>DTDRpat_result0[[#This Row],[gap of angle (rad)2]]*10000</f>
        <v>0.8032277126752847</v>
      </c>
      <c r="K36">
        <v>8.0322771267528475E-5</v>
      </c>
    </row>
    <row r="37" spans="1:11" x14ac:dyDescent="0.3">
      <c r="A37" t="s">
        <v>6</v>
      </c>
      <c r="B37">
        <v>32.191820000002203</v>
      </c>
      <c r="C37" s="4">
        <f t="shared" si="0"/>
        <v>1.0265870991911301</v>
      </c>
      <c r="D37">
        <v>1.02658709919113E-4</v>
      </c>
      <c r="E37">
        <v>513900</v>
      </c>
      <c r="F37">
        <v>920.397396398193</v>
      </c>
      <c r="H37" t="s">
        <v>6</v>
      </c>
      <c r="I37">
        <v>32.191820000002224</v>
      </c>
      <c r="J37">
        <f>DTDRpat_result0[[#This Row],[gap of angle (rad)2]]*10000</f>
        <v>0.8032277126752847</v>
      </c>
      <c r="K37">
        <v>8.0322771267528475E-5</v>
      </c>
    </row>
    <row r="38" spans="1:11" x14ac:dyDescent="0.3">
      <c r="A38" t="s">
        <v>6</v>
      </c>
      <c r="B38">
        <v>34.083246000001303</v>
      </c>
      <c r="C38" s="4">
        <f t="shared" si="0"/>
        <v>1.0177861585964301</v>
      </c>
      <c r="D38">
        <v>1.01778615859643E-4</v>
      </c>
      <c r="E38">
        <v>544100</v>
      </c>
      <c r="F38">
        <v>924.36848965550098</v>
      </c>
      <c r="H38" t="s">
        <v>6</v>
      </c>
      <c r="I38">
        <v>34.083246000001388</v>
      </c>
      <c r="J38">
        <f>DTDRpat_result0[[#This Row],[gap of angle (rad)2]]*10000</f>
        <v>0.82258360415715071</v>
      </c>
      <c r="K38">
        <v>8.2258360415715065E-5</v>
      </c>
    </row>
    <row r="39" spans="1:11" x14ac:dyDescent="0.3">
      <c r="A39" t="s">
        <v>6</v>
      </c>
      <c r="B39">
        <v>34.083246000001303</v>
      </c>
      <c r="C39" s="4">
        <f t="shared" si="0"/>
        <v>1.03540869521821</v>
      </c>
      <c r="D39">
        <v>1.03540869521821E-4</v>
      </c>
      <c r="E39">
        <v>544100</v>
      </c>
      <c r="F39">
        <v>916.46794791211698</v>
      </c>
      <c r="H39" t="s">
        <v>6</v>
      </c>
      <c r="I39">
        <v>34.083246000001388</v>
      </c>
      <c r="J39">
        <f>DTDRpat_result0[[#This Row],[gap of angle (rad)2]]*10000</f>
        <v>0.82258360415715071</v>
      </c>
      <c r="K39">
        <v>8.2258360415715065E-5</v>
      </c>
    </row>
    <row r="40" spans="1:11" x14ac:dyDescent="0.3">
      <c r="A40" t="s">
        <v>6</v>
      </c>
      <c r="B40">
        <v>35.962146000000502</v>
      </c>
      <c r="C40" s="4">
        <f t="shared" si="0"/>
        <v>1.02616136599857</v>
      </c>
      <c r="D40">
        <v>1.02616136599857E-4</v>
      </c>
      <c r="E40">
        <v>574100</v>
      </c>
      <c r="F40">
        <v>920.58831411878305</v>
      </c>
      <c r="H40" t="s">
        <v>6</v>
      </c>
      <c r="I40">
        <v>35.962146000000565</v>
      </c>
      <c r="J40">
        <f>DTDRpat_result0[[#This Row],[gap of angle (rad)2]]*10000</f>
        <v>0.84331074331627742</v>
      </c>
      <c r="K40">
        <v>8.4331074331627743E-5</v>
      </c>
    </row>
    <row r="41" spans="1:11" x14ac:dyDescent="0.3">
      <c r="A41" t="s">
        <v>6</v>
      </c>
      <c r="B41">
        <v>35.962146000000502</v>
      </c>
      <c r="C41" s="4">
        <f t="shared" si="0"/>
        <v>1.0445175228924302</v>
      </c>
      <c r="D41">
        <v>1.0445175228924301E-4</v>
      </c>
      <c r="E41">
        <v>574100</v>
      </c>
      <c r="F41">
        <v>912.46294107269102</v>
      </c>
      <c r="H41" t="s">
        <v>6</v>
      </c>
      <c r="I41">
        <v>35.962146000000565</v>
      </c>
      <c r="J41">
        <f>DTDRpat_result0[[#This Row],[gap of angle (rad)2]]*10000</f>
        <v>0.84331071698617188</v>
      </c>
      <c r="K41">
        <v>8.4331071698617193E-5</v>
      </c>
    </row>
    <row r="42" spans="1:11" x14ac:dyDescent="0.3">
      <c r="A42" t="s">
        <v>6</v>
      </c>
      <c r="B42">
        <v>37.8410459999997</v>
      </c>
      <c r="C42" s="4">
        <f t="shared" si="0"/>
        <v>1.03490564213202</v>
      </c>
      <c r="D42">
        <v>1.03490564213202E-4</v>
      </c>
      <c r="E42">
        <v>604100</v>
      </c>
      <c r="F42">
        <v>916.69068137998204</v>
      </c>
      <c r="H42" t="s">
        <v>6</v>
      </c>
      <c r="I42">
        <v>37.841045999999736</v>
      </c>
      <c r="J42">
        <f>DTDRpat_result0[[#This Row],[gap of angle (rad)2]]*10000</f>
        <v>0.86559389647205809</v>
      </c>
      <c r="K42">
        <v>8.6559389647205813E-5</v>
      </c>
    </row>
    <row r="43" spans="1:11" x14ac:dyDescent="0.3">
      <c r="A43" t="s">
        <v>6</v>
      </c>
      <c r="B43">
        <v>37.8410459999997</v>
      </c>
      <c r="C43" s="4">
        <f t="shared" si="0"/>
        <v>1.0539448266853599</v>
      </c>
      <c r="D43">
        <v>1.05394482668536E-4</v>
      </c>
      <c r="E43">
        <v>604100</v>
      </c>
      <c r="F43">
        <v>908.37272349318198</v>
      </c>
      <c r="H43" t="s">
        <v>6</v>
      </c>
      <c r="I43">
        <v>37.841045999999736</v>
      </c>
      <c r="J43">
        <f>DTDRpat_result0[[#This Row],[gap of angle (rad)2]]*10000</f>
        <v>0.86559389647205809</v>
      </c>
      <c r="K43">
        <v>8.6559389647205813E-5</v>
      </c>
    </row>
    <row r="44" spans="1:11" x14ac:dyDescent="0.3">
      <c r="A44" t="s">
        <v>6</v>
      </c>
      <c r="B44">
        <v>39.7324719999989</v>
      </c>
      <c r="C44" s="4">
        <f t="shared" si="0"/>
        <v>1.0440574174758799</v>
      </c>
      <c r="D44">
        <v>1.0440574174758799E-4</v>
      </c>
      <c r="E44">
        <v>634300</v>
      </c>
      <c r="F44">
        <v>912.663983842888</v>
      </c>
      <c r="H44" t="s">
        <v>6</v>
      </c>
      <c r="I44">
        <v>39.732471999998907</v>
      </c>
      <c r="J44">
        <f>DTDRpat_result0[[#This Row],[gap of angle (rad)2]]*10000</f>
        <v>0.88965936298604553</v>
      </c>
      <c r="K44">
        <v>8.8965936298604552E-5</v>
      </c>
    </row>
    <row r="45" spans="1:11" x14ac:dyDescent="0.3">
      <c r="A45" t="s">
        <v>6</v>
      </c>
      <c r="B45">
        <v>39.7324719999989</v>
      </c>
      <c r="C45" s="4">
        <f t="shared" si="0"/>
        <v>1.0637276141807099</v>
      </c>
      <c r="D45">
        <v>1.06372761418071E-4</v>
      </c>
      <c r="E45">
        <v>634300</v>
      </c>
      <c r="F45">
        <v>904.18592928871306</v>
      </c>
      <c r="H45" t="s">
        <v>6</v>
      </c>
      <c r="I45">
        <v>39.732471999998907</v>
      </c>
      <c r="J45">
        <f>DTDRpat_result0[[#This Row],[gap of angle (rad)2]]*10000</f>
        <v>0.88965936298604553</v>
      </c>
      <c r="K45">
        <v>8.8965936298604552E-5</v>
      </c>
    </row>
    <row r="46" spans="1:11" x14ac:dyDescent="0.3">
      <c r="A46" t="s">
        <v>6</v>
      </c>
      <c r="B46">
        <v>41.623897999998</v>
      </c>
      <c r="C46" s="4">
        <f t="shared" si="0"/>
        <v>1.0535333102836899</v>
      </c>
      <c r="D46">
        <v>1.05353331028369E-4</v>
      </c>
      <c r="E46">
        <v>664500</v>
      </c>
      <c r="F46">
        <v>908.55011747623905</v>
      </c>
      <c r="H46" t="s">
        <v>6</v>
      </c>
      <c r="I46">
        <v>41.623897999998071</v>
      </c>
      <c r="J46">
        <f>DTDRpat_result0[[#This Row],[gap of angle (rad)2]]*10000</f>
        <v>0.91542496562179276</v>
      </c>
      <c r="K46">
        <v>9.1542496562179273E-5</v>
      </c>
    </row>
    <row r="47" spans="1:11" x14ac:dyDescent="0.3">
      <c r="A47" t="s">
        <v>6</v>
      </c>
      <c r="B47">
        <v>41.623897999998</v>
      </c>
      <c r="C47" s="4">
        <f t="shared" si="0"/>
        <v>1.07377178266325</v>
      </c>
      <c r="D47">
        <v>1.07377178266325E-4</v>
      </c>
      <c r="E47">
        <v>664500</v>
      </c>
      <c r="F47">
        <v>899.94696009854704</v>
      </c>
      <c r="H47" t="s">
        <v>6</v>
      </c>
      <c r="I47">
        <v>41.623897999998071</v>
      </c>
      <c r="J47">
        <f>DTDRpat_result0[[#This Row],[gap of angle (rad)2]]*10000</f>
        <v>0.91542497774974474</v>
      </c>
      <c r="K47">
        <v>9.1542497774974477E-5</v>
      </c>
    </row>
    <row r="48" spans="1:11" x14ac:dyDescent="0.3">
      <c r="A48" t="s">
        <v>6</v>
      </c>
      <c r="B48">
        <v>43.5153239999972</v>
      </c>
      <c r="C48" s="4">
        <f t="shared" si="0"/>
        <v>1.0633041698582399</v>
      </c>
      <c r="D48">
        <v>1.06330416985824E-4</v>
      </c>
      <c r="E48">
        <v>694700</v>
      </c>
      <c r="F48">
        <v>904.36594268250496</v>
      </c>
      <c r="H48" t="s">
        <v>6</v>
      </c>
      <c r="I48">
        <v>43.515323999997243</v>
      </c>
      <c r="J48">
        <f>DTDRpat_result0[[#This Row],[gap of angle (rad)2]]*10000</f>
        <v>0.94294851838043814</v>
      </c>
      <c r="K48">
        <v>9.4294851838043817E-5</v>
      </c>
    </row>
    <row r="49" spans="1:11" x14ac:dyDescent="0.3">
      <c r="A49" t="s">
        <v>6</v>
      </c>
      <c r="B49">
        <v>43.5153239999972</v>
      </c>
      <c r="C49" s="4">
        <f t="shared" si="0"/>
        <v>1.0840420362274301</v>
      </c>
      <c r="D49">
        <v>1.08404203622743E-4</v>
      </c>
      <c r="E49">
        <v>694700</v>
      </c>
      <c r="F49">
        <v>895.67367838376504</v>
      </c>
      <c r="H49" t="s">
        <v>6</v>
      </c>
      <c r="I49">
        <v>43.515323999997243</v>
      </c>
      <c r="J49">
        <f>DTDRpat_result0[[#This Row],[gap of angle (rad)2]]*10000</f>
        <v>0.94294850660648644</v>
      </c>
      <c r="K49">
        <v>9.429485066064864E-5</v>
      </c>
    </row>
    <row r="50" spans="1:11" x14ac:dyDescent="0.3">
      <c r="A50" t="s">
        <v>6</v>
      </c>
      <c r="B50">
        <v>45.394223999996399</v>
      </c>
      <c r="C50" s="4">
        <f t="shared" si="0"/>
        <v>1.07327066675121</v>
      </c>
      <c r="D50">
        <v>1.07327066675121E-4</v>
      </c>
      <c r="E50">
        <v>724700</v>
      </c>
      <c r="F50">
        <v>900.15703544681298</v>
      </c>
      <c r="H50" t="s">
        <v>6</v>
      </c>
      <c r="I50">
        <v>45.394223999996413</v>
      </c>
      <c r="J50">
        <f>DTDRpat_result0[[#This Row],[gap of angle (rad)2]]*10000</f>
        <v>0.97208177076898294</v>
      </c>
      <c r="K50">
        <v>9.7208177076898292E-5</v>
      </c>
    </row>
    <row r="51" spans="1:11" x14ac:dyDescent="0.3">
      <c r="A51" t="s">
        <v>6</v>
      </c>
      <c r="B51">
        <v>45.394223999996399</v>
      </c>
      <c r="C51" s="4">
        <f t="shared" si="0"/>
        <v>1.0944300245869201</v>
      </c>
      <c r="D51">
        <v>1.09443002458692E-4</v>
      </c>
      <c r="E51">
        <v>724700</v>
      </c>
      <c r="F51">
        <v>891.41276433099301</v>
      </c>
      <c r="H51" t="s">
        <v>6</v>
      </c>
      <c r="I51">
        <v>45.394223999996413</v>
      </c>
      <c r="J51">
        <f>DTDRpat_result0[[#This Row],[gap of angle (rad)2]]*10000</f>
        <v>0.97208175934789609</v>
      </c>
      <c r="K51">
        <v>9.7208175934789613E-5</v>
      </c>
    </row>
    <row r="52" spans="1:11" x14ac:dyDescent="0.3">
      <c r="A52" t="s">
        <v>6</v>
      </c>
      <c r="B52">
        <v>47.285649999995499</v>
      </c>
      <c r="C52" s="4">
        <f t="shared" si="0"/>
        <v>1.0835306388050301</v>
      </c>
      <c r="D52">
        <v>1.08353063880503E-4</v>
      </c>
      <c r="E52">
        <v>754900</v>
      </c>
      <c r="F52">
        <v>895.88502126506501</v>
      </c>
      <c r="H52" t="s">
        <v>6</v>
      </c>
      <c r="I52">
        <v>47.285649999995584</v>
      </c>
      <c r="J52">
        <f>DTDRpat_result0[[#This Row],[gap of angle (rad)2]]*10000</f>
        <v>1.0032565854664353</v>
      </c>
      <c r="K52">
        <v>1.0032565854664353E-4</v>
      </c>
    </row>
    <row r="53" spans="1:11" x14ac:dyDescent="0.3">
      <c r="A53" t="s">
        <v>6</v>
      </c>
      <c r="B53">
        <v>47.285649999995499</v>
      </c>
      <c r="C53" s="4">
        <f t="shared" si="0"/>
        <v>1.10503279083827</v>
      </c>
      <c r="D53">
        <v>1.1050327908382699E-4</v>
      </c>
      <c r="E53">
        <v>754900</v>
      </c>
      <c r="F53">
        <v>887.12589591268102</v>
      </c>
      <c r="H53" t="s">
        <v>6</v>
      </c>
      <c r="I53">
        <v>47.285649999995584</v>
      </c>
      <c r="J53">
        <f>DTDRpat_result0[[#This Row],[gap of angle (rad)2]]*10000</f>
        <v>1.0032565965326274</v>
      </c>
      <c r="K53">
        <v>1.0032565965326274E-4</v>
      </c>
    </row>
    <row r="54" spans="1:11" x14ac:dyDescent="0.3">
      <c r="A54" t="s">
        <v>6</v>
      </c>
      <c r="B54">
        <v>49.164549999994698</v>
      </c>
      <c r="C54" s="4">
        <f t="shared" si="0"/>
        <v>1.0939103911584001</v>
      </c>
      <c r="D54">
        <v>1.0939103911584E-4</v>
      </c>
      <c r="E54">
        <v>784900</v>
      </c>
      <c r="F54">
        <v>891.62446613020597</v>
      </c>
      <c r="H54" t="s">
        <v>6</v>
      </c>
      <c r="I54">
        <v>49.164549999994755</v>
      </c>
      <c r="J54">
        <f>DTDRpat_result0[[#This Row],[gap of angle (rad)2]]*10000</f>
        <v>1.0360914434774053</v>
      </c>
      <c r="K54">
        <v>1.0360914434774054E-4</v>
      </c>
    </row>
    <row r="55" spans="1:11" x14ac:dyDescent="0.3">
      <c r="A55" t="s">
        <v>6</v>
      </c>
      <c r="B55">
        <v>49.164549999994698</v>
      </c>
      <c r="C55" s="4">
        <f t="shared" si="0"/>
        <v>1.1156656323407799</v>
      </c>
      <c r="D55">
        <v>1.11566563234078E-4</v>
      </c>
      <c r="E55">
        <v>784900</v>
      </c>
      <c r="F55">
        <v>882.88843466322396</v>
      </c>
      <c r="H55" t="s">
        <v>6</v>
      </c>
      <c r="I55">
        <v>49.164549999994755</v>
      </c>
      <c r="J55">
        <f>DTDRpat_result0[[#This Row],[gap of angle (rad)2]]*10000</f>
        <v>1.0360914434774053</v>
      </c>
      <c r="K55">
        <v>1.0360914434774054E-4</v>
      </c>
    </row>
    <row r="56" spans="1:11" x14ac:dyDescent="0.3">
      <c r="A56" t="s">
        <v>6</v>
      </c>
      <c r="B56">
        <v>51.062238999993902</v>
      </c>
      <c r="C56" s="4">
        <f t="shared" si="0"/>
        <v>1.1045422693134199</v>
      </c>
      <c r="D56">
        <v>1.10454226931342E-4</v>
      </c>
      <c r="E56">
        <v>815200</v>
      </c>
      <c r="F56">
        <v>887.32286470158795</v>
      </c>
      <c r="H56" t="s">
        <v>6</v>
      </c>
      <c r="I56">
        <v>51.062238999993923</v>
      </c>
      <c r="J56">
        <f>DTDRpat_result0[[#This Row],[gap of angle (rad)2]]*10000</f>
        <v>1.071158797261754</v>
      </c>
      <c r="K56">
        <v>1.071158797261754E-4</v>
      </c>
    </row>
    <row r="57" spans="1:11" x14ac:dyDescent="0.3">
      <c r="A57" t="s">
        <v>6</v>
      </c>
      <c r="B57">
        <v>51.062238999993902</v>
      </c>
      <c r="C57" s="4">
        <f t="shared" si="0"/>
        <v>1.1264580192667</v>
      </c>
      <c r="D57">
        <v>1.1264580192667E-4</v>
      </c>
      <c r="E57">
        <v>815200</v>
      </c>
      <c r="F57">
        <v>878.64890336209203</v>
      </c>
      <c r="H57" t="s">
        <v>6</v>
      </c>
      <c r="I57">
        <v>51.062238999993923</v>
      </c>
      <c r="J57">
        <f>DTDRpat_result0[[#This Row],[gap of angle (rad)2]]*10000</f>
        <v>1.0711587868970627</v>
      </c>
      <c r="K57">
        <v>1.0711587868970626E-4</v>
      </c>
    </row>
    <row r="58" spans="1:11" x14ac:dyDescent="0.3">
      <c r="A58" t="s">
        <v>6</v>
      </c>
      <c r="B58">
        <v>52.9411389999931</v>
      </c>
      <c r="C58" s="4">
        <f t="shared" si="0"/>
        <v>1.1151714549454199</v>
      </c>
      <c r="D58">
        <v>1.11517145494542E-4</v>
      </c>
      <c r="E58">
        <v>845200</v>
      </c>
      <c r="F58">
        <v>883.08401999701698</v>
      </c>
      <c r="H58" t="s">
        <v>6</v>
      </c>
      <c r="I58">
        <v>52.9411389999931</v>
      </c>
      <c r="J58">
        <f>DTDRpat_result0[[#This Row],[gap of angle (rad)2]]*10000</f>
        <v>1.1077592290627878</v>
      </c>
      <c r="K58">
        <v>1.1077592290627878E-4</v>
      </c>
    </row>
    <row r="59" spans="1:11" x14ac:dyDescent="0.3">
      <c r="A59" t="s">
        <v>6</v>
      </c>
      <c r="B59">
        <v>52.9411389999931</v>
      </c>
      <c r="C59" s="4">
        <f t="shared" si="0"/>
        <v>1.1371457081288399</v>
      </c>
      <c r="D59">
        <v>1.13714570812884E-4</v>
      </c>
      <c r="E59">
        <v>845200</v>
      </c>
      <c r="F59">
        <v>874.51016022403496</v>
      </c>
      <c r="H59" t="s">
        <v>6</v>
      </c>
      <c r="I59">
        <v>52.9411389999931</v>
      </c>
      <c r="J59">
        <f>DTDRpat_result0[[#This Row],[gap of angle (rad)2]]*10000</f>
        <v>1.1077592290627878</v>
      </c>
      <c r="K59">
        <v>1.1077592290627878E-4</v>
      </c>
    </row>
    <row r="60" spans="1:11" x14ac:dyDescent="0.3">
      <c r="A60" t="s">
        <v>6</v>
      </c>
      <c r="B60">
        <v>54.832564999992201</v>
      </c>
      <c r="C60" s="4">
        <f t="shared" si="0"/>
        <v>1.1259268693129501</v>
      </c>
      <c r="D60">
        <v>1.12592686931295E-4</v>
      </c>
      <c r="E60">
        <v>875400</v>
      </c>
      <c r="F60">
        <v>878.85612448198401</v>
      </c>
      <c r="H60" t="s">
        <v>6</v>
      </c>
      <c r="I60">
        <v>54.832564999992265</v>
      </c>
      <c r="J60">
        <f>DTDRpat_result0[[#This Row],[gap of angle (rad)2]]*10000</f>
        <v>1.1464620500985019</v>
      </c>
      <c r="K60">
        <v>1.1464620500985019E-4</v>
      </c>
    </row>
    <row r="61" spans="1:11" x14ac:dyDescent="0.3">
      <c r="A61" t="s">
        <v>6</v>
      </c>
      <c r="B61">
        <v>54.832564999992201</v>
      </c>
      <c r="C61" s="4">
        <f t="shared" si="0"/>
        <v>1.1478528902019101</v>
      </c>
      <c r="D61">
        <v>1.1478528902019101E-4</v>
      </c>
      <c r="E61">
        <v>875400</v>
      </c>
      <c r="F61">
        <v>870.42198282310096</v>
      </c>
      <c r="H61" t="s">
        <v>6</v>
      </c>
      <c r="I61">
        <v>54.832564999992265</v>
      </c>
      <c r="J61">
        <f>DTDRpat_result0[[#This Row],[gap of angle (rad)2]]*10000</f>
        <v>1.1464620307306905</v>
      </c>
      <c r="K61">
        <v>1.1464620307306905E-4</v>
      </c>
    </row>
    <row r="62" spans="1:11" x14ac:dyDescent="0.3">
      <c r="A62" t="s">
        <v>6</v>
      </c>
      <c r="B62">
        <v>56.717727999991403</v>
      </c>
      <c r="C62" s="4">
        <f t="shared" si="0"/>
        <v>1.1366512583309301</v>
      </c>
      <c r="D62">
        <v>1.13665125833093E-4</v>
      </c>
      <c r="E62">
        <v>905500</v>
      </c>
      <c r="F62">
        <v>874.700339434424</v>
      </c>
      <c r="H62" t="s">
        <v>6</v>
      </c>
      <c r="I62">
        <v>56.717727999991439</v>
      </c>
      <c r="J62">
        <f>DTDRpat_result0[[#This Row],[gap of angle (rad)2]]*10000</f>
        <v>1.1868280801369464</v>
      </c>
      <c r="K62">
        <v>1.1868280801369465E-4</v>
      </c>
    </row>
    <row r="63" spans="1:11" x14ac:dyDescent="0.3">
      <c r="A63" t="s">
        <v>6</v>
      </c>
      <c r="B63">
        <v>56.717727999991403</v>
      </c>
      <c r="C63" s="4">
        <f t="shared" si="0"/>
        <v>1.15841676063994</v>
      </c>
      <c r="D63">
        <v>1.15841676063994E-4</v>
      </c>
      <c r="E63">
        <v>905500</v>
      </c>
      <c r="F63">
        <v>866.44426095312997</v>
      </c>
      <c r="H63" t="s">
        <v>6</v>
      </c>
      <c r="I63">
        <v>56.717727999991439</v>
      </c>
      <c r="J63">
        <f>DTDRpat_result0[[#This Row],[gap of angle (rad)2]]*10000</f>
        <v>1.1868280801369464</v>
      </c>
      <c r="K63">
        <v>1.1868280801369465E-4</v>
      </c>
    </row>
    <row r="64" spans="1:11" x14ac:dyDescent="0.3">
      <c r="A64" t="s">
        <v>6</v>
      </c>
      <c r="B64">
        <v>58.596627999990403</v>
      </c>
      <c r="C64" s="4">
        <f t="shared" si="0"/>
        <v>1.14729142839881</v>
      </c>
      <c r="D64">
        <v>1.14729142839881E-4</v>
      </c>
      <c r="E64">
        <v>935500</v>
      </c>
      <c r="F64">
        <v>870.63493994223404</v>
      </c>
      <c r="H64" t="s">
        <v>6</v>
      </c>
      <c r="I64">
        <v>58.59662799999041</v>
      </c>
      <c r="J64">
        <f>DTDRpat_result0[[#This Row],[gap of angle (rad)2]]*10000</f>
        <v>1.2287367056487206</v>
      </c>
      <c r="K64">
        <v>1.2287367056487206E-4</v>
      </c>
    </row>
    <row r="65" spans="1:11" x14ac:dyDescent="0.3">
      <c r="A65" t="s">
        <v>6</v>
      </c>
      <c r="B65">
        <v>58.596627999990403</v>
      </c>
      <c r="C65" s="4">
        <f t="shared" si="0"/>
        <v>1.16878004276013</v>
      </c>
      <c r="D65">
        <v>1.16878004276013E-4</v>
      </c>
      <c r="E65">
        <v>935500</v>
      </c>
      <c r="F65">
        <v>862.59461183873998</v>
      </c>
      <c r="H65" t="s">
        <v>6</v>
      </c>
      <c r="I65">
        <v>58.59662799999041</v>
      </c>
      <c r="J65">
        <f>DTDRpat_result0[[#This Row],[gap of angle (rad)2]]*10000</f>
        <v>1.2287367056487206</v>
      </c>
      <c r="K65">
        <v>1.2287367056487206E-4</v>
      </c>
    </row>
    <row r="66" spans="1:11" x14ac:dyDescent="0.3">
      <c r="A66" t="s">
        <v>6</v>
      </c>
      <c r="B66">
        <v>60.494316999989202</v>
      </c>
      <c r="C66" s="4">
        <f t="shared" si="0"/>
        <v>1.15793218007217</v>
      </c>
      <c r="D66">
        <v>1.15793218007217E-4</v>
      </c>
      <c r="E66">
        <v>965800</v>
      </c>
      <c r="F66">
        <v>866.62553223421105</v>
      </c>
      <c r="H66" t="s">
        <v>6</v>
      </c>
      <c r="I66">
        <v>60.494316999989287</v>
      </c>
      <c r="J66">
        <f>DTDRpat_result0[[#This Row],[gap of angle (rad)2]]*10000</f>
        <v>1.2726114768404033</v>
      </c>
      <c r="K66">
        <v>1.2726114768404033E-4</v>
      </c>
    </row>
    <row r="67" spans="1:11" x14ac:dyDescent="0.3">
      <c r="A67" t="s">
        <v>6</v>
      </c>
      <c r="B67">
        <v>60.494316999989202</v>
      </c>
      <c r="C67" s="4">
        <f t="shared" ref="C67:C130" si="1">D67*10000</f>
        <v>1.17901823780259</v>
      </c>
      <c r="D67">
        <v>1.1790182378025899E-4</v>
      </c>
      <c r="E67">
        <v>965800</v>
      </c>
      <c r="F67">
        <v>858.84141849695095</v>
      </c>
      <c r="H67" t="s">
        <v>6</v>
      </c>
      <c r="I67">
        <v>60.494316999989287</v>
      </c>
      <c r="J67">
        <f>DTDRpat_result0[[#This Row],[gap of angle (rad)2]]*10000</f>
        <v>1.2726114768404033</v>
      </c>
      <c r="K67">
        <v>1.2726114768404033E-4</v>
      </c>
    </row>
    <row r="68" spans="1:11" x14ac:dyDescent="0.3">
      <c r="A68" t="s">
        <v>6</v>
      </c>
      <c r="B68">
        <v>62.373216999988102</v>
      </c>
      <c r="C68" s="4">
        <f t="shared" si="1"/>
        <v>1.16830443603713</v>
      </c>
      <c r="D68">
        <v>1.16830443603713E-4</v>
      </c>
      <c r="E68">
        <v>995800</v>
      </c>
      <c r="F68">
        <v>862.77016505693405</v>
      </c>
      <c r="H68" t="s">
        <v>6</v>
      </c>
      <c r="I68">
        <v>62.37321699998818</v>
      </c>
      <c r="J68">
        <f>DTDRpat_result0[[#This Row],[gap of angle (rad)2]]*10000</f>
        <v>1.3173782979766124</v>
      </c>
      <c r="K68">
        <v>1.3173782979766124E-4</v>
      </c>
    </row>
    <row r="69" spans="1:11" x14ac:dyDescent="0.3">
      <c r="A69" t="s">
        <v>6</v>
      </c>
      <c r="B69">
        <v>62.373216999988102</v>
      </c>
      <c r="C69" s="4">
        <f t="shared" si="1"/>
        <v>1.1888667320314299</v>
      </c>
      <c r="D69">
        <v>1.18886673203143E-4</v>
      </c>
      <c r="E69">
        <v>995800</v>
      </c>
      <c r="F69">
        <v>855.27696397963496</v>
      </c>
      <c r="H69" t="s">
        <v>6</v>
      </c>
      <c r="I69">
        <v>62.37321699998818</v>
      </c>
      <c r="J69">
        <f>DTDRpat_result0[[#This Row],[gap of angle (rad)2]]*10000</f>
        <v>1.3173783232591683</v>
      </c>
      <c r="K69">
        <v>1.3173783232591684E-4</v>
      </c>
    </row>
    <row r="70" spans="1:11" x14ac:dyDescent="0.3">
      <c r="A70" t="s">
        <v>6</v>
      </c>
      <c r="B70">
        <v>64.264642999987402</v>
      </c>
      <c r="C70" s="4">
        <f t="shared" si="1"/>
        <v>1.17852113933017</v>
      </c>
      <c r="D70">
        <v>1.17852113933017E-4</v>
      </c>
      <c r="E70">
        <v>1026000</v>
      </c>
      <c r="F70">
        <v>859.02251516569402</v>
      </c>
      <c r="H70" t="s">
        <v>6</v>
      </c>
      <c r="I70">
        <v>64.264642999987458</v>
      </c>
      <c r="J70">
        <f>DTDRpat_result0[[#This Row],[gap of angle (rad)2]]*10000</f>
        <v>1.3635067748791414</v>
      </c>
      <c r="K70">
        <v>1.3635067748791414E-4</v>
      </c>
    </row>
    <row r="71" spans="1:11" x14ac:dyDescent="0.3">
      <c r="A71" t="s">
        <v>6</v>
      </c>
      <c r="B71">
        <v>64.264642999987402</v>
      </c>
      <c r="C71" s="4">
        <f t="shared" si="1"/>
        <v>1.198427897705</v>
      </c>
      <c r="D71">
        <v>1.198427897705E-4</v>
      </c>
      <c r="E71">
        <v>1026000</v>
      </c>
      <c r="F71">
        <v>851.85866782678897</v>
      </c>
      <c r="H71" t="s">
        <v>6</v>
      </c>
      <c r="I71">
        <v>64.264642999987458</v>
      </c>
      <c r="J71">
        <f>DTDRpat_result0[[#This Row],[gap of angle (rad)2]]*10000</f>
        <v>1.3635067748791414</v>
      </c>
      <c r="K71">
        <v>1.3635067748791414E-4</v>
      </c>
    </row>
    <row r="72" spans="1:11" x14ac:dyDescent="0.3">
      <c r="A72" t="s">
        <v>6</v>
      </c>
      <c r="B72">
        <v>66.149805999988899</v>
      </c>
      <c r="C72" s="4">
        <f t="shared" si="1"/>
        <v>1.18841769891331</v>
      </c>
      <c r="D72">
        <v>1.1884176989133099E-4</v>
      </c>
      <c r="E72">
        <v>1056100</v>
      </c>
      <c r="F72">
        <v>855.43851681525598</v>
      </c>
      <c r="H72" t="s">
        <v>6</v>
      </c>
      <c r="I72">
        <v>66.149805999988899</v>
      </c>
      <c r="J72">
        <f>DTDRpat_result0[[#This Row],[gap of angle (rad)2]]*10000</f>
        <v>1.4102050453045964</v>
      </c>
      <c r="K72">
        <v>1.4102050453045965E-4</v>
      </c>
    </row>
    <row r="73" spans="1:11" x14ac:dyDescent="0.3">
      <c r="A73" t="s">
        <v>6</v>
      </c>
      <c r="B73">
        <v>66.149805999988899</v>
      </c>
      <c r="C73" s="4">
        <f t="shared" si="1"/>
        <v>1.20754167046043</v>
      </c>
      <c r="D73">
        <v>1.20754167046043E-4</v>
      </c>
      <c r="E73">
        <v>1056100</v>
      </c>
      <c r="F73">
        <v>848.63823117039999</v>
      </c>
      <c r="H73" t="s">
        <v>6</v>
      </c>
      <c r="I73">
        <v>66.149805999988899</v>
      </c>
      <c r="J73">
        <f>DTDRpat_result0[[#This Row],[gap of angle (rad)2]]*10000</f>
        <v>1.4102050453045964</v>
      </c>
      <c r="K73">
        <v>1.4102050453045965E-4</v>
      </c>
    </row>
    <row r="74" spans="1:11" x14ac:dyDescent="0.3">
      <c r="A74" t="s">
        <v>6</v>
      </c>
      <c r="B74">
        <v>68.041231999990302</v>
      </c>
      <c r="C74" s="4">
        <f t="shared" si="1"/>
        <v>1.1979965625786699</v>
      </c>
      <c r="D74">
        <v>1.19799656257867E-4</v>
      </c>
      <c r="E74">
        <v>1086300</v>
      </c>
      <c r="F74">
        <v>852.01199703076395</v>
      </c>
      <c r="H74" t="s">
        <v>6</v>
      </c>
      <c r="I74">
        <v>68.04123199999033</v>
      </c>
      <c r="J74">
        <f>DTDRpat_result0[[#This Row],[gap of angle (rad)2]]*10000</f>
        <v>1.457366879970881</v>
      </c>
      <c r="K74">
        <v>1.4573668799708811E-4</v>
      </c>
    </row>
    <row r="75" spans="1:11" x14ac:dyDescent="0.3">
      <c r="A75" t="s">
        <v>6</v>
      </c>
      <c r="B75">
        <v>68.041231999990302</v>
      </c>
      <c r="C75" s="4">
        <f t="shared" si="1"/>
        <v>1.21620533718321</v>
      </c>
      <c r="D75">
        <v>1.2162053371832099E-4</v>
      </c>
      <c r="E75">
        <v>1086300</v>
      </c>
      <c r="F75">
        <v>845.61051681269896</v>
      </c>
      <c r="H75" t="s">
        <v>6</v>
      </c>
      <c r="I75">
        <v>68.04123199999033</v>
      </c>
      <c r="J75">
        <f>DTDRpat_result0[[#This Row],[gap of angle (rad)2]]*10000</f>
        <v>1.4573668647348683</v>
      </c>
      <c r="K75">
        <v>1.4573668647348682E-4</v>
      </c>
    </row>
    <row r="76" spans="1:11" x14ac:dyDescent="0.3">
      <c r="A76" t="s">
        <v>6</v>
      </c>
      <c r="B76">
        <v>69.932657999992003</v>
      </c>
      <c r="C76" s="4">
        <f t="shared" si="1"/>
        <v>1.2071604790544199</v>
      </c>
      <c r="D76">
        <v>1.20716047905442E-4</v>
      </c>
      <c r="E76">
        <v>1116500</v>
      </c>
      <c r="F76">
        <v>848.772197228599</v>
      </c>
      <c r="H76" t="s">
        <v>6</v>
      </c>
      <c r="I76">
        <v>69.932657999992031</v>
      </c>
      <c r="J76">
        <f>DTDRpat_result0[[#This Row],[gap of angle (rad)2]]*10000</f>
        <v>1.5043412223332044</v>
      </c>
      <c r="K76">
        <v>1.5043412223332043E-4</v>
      </c>
    </row>
    <row r="77" spans="1:11" x14ac:dyDescent="0.3">
      <c r="A77" t="s">
        <v>6</v>
      </c>
      <c r="B77">
        <v>69.932657999992003</v>
      </c>
      <c r="C77" s="4">
        <f t="shared" si="1"/>
        <v>1.2243255344286401</v>
      </c>
      <c r="D77">
        <v>1.22432553442864E-4</v>
      </c>
      <c r="E77">
        <v>1116500</v>
      </c>
      <c r="F77">
        <v>842.80200024307601</v>
      </c>
      <c r="H77" t="s">
        <v>6</v>
      </c>
      <c r="I77">
        <v>69.932657999992031</v>
      </c>
      <c r="J77">
        <f>DTDRpat_result0[[#This Row],[gap of angle (rad)2]]*10000</f>
        <v>1.5043412370934595</v>
      </c>
      <c r="K77">
        <v>1.5043412370934595E-4</v>
      </c>
    </row>
    <row r="78" spans="1:11" x14ac:dyDescent="0.3">
      <c r="A78" t="s">
        <v>6</v>
      </c>
      <c r="B78">
        <v>71.811557999993795</v>
      </c>
      <c r="C78" s="4">
        <f t="shared" si="1"/>
        <v>1.21579016230535</v>
      </c>
      <c r="D78">
        <v>1.2157901623053501E-4</v>
      </c>
      <c r="E78">
        <v>1146500</v>
      </c>
      <c r="F78">
        <v>845.75486704903403</v>
      </c>
      <c r="H78" t="s">
        <v>6</v>
      </c>
      <c r="I78">
        <v>71.811557999993852</v>
      </c>
      <c r="J78">
        <f>DTDRpat_result0[[#This Row],[gap of angle (rad)2]]*10000</f>
        <v>1.5502502610918143</v>
      </c>
      <c r="K78">
        <v>1.5502502610918143E-4</v>
      </c>
    </row>
    <row r="79" spans="1:11" x14ac:dyDescent="0.3">
      <c r="A79" t="s">
        <v>6</v>
      </c>
      <c r="B79">
        <v>71.811557999993795</v>
      </c>
      <c r="C79" s="4">
        <f t="shared" si="1"/>
        <v>1.2317942498261401</v>
      </c>
      <c r="D79">
        <v>1.2317942498261399E-4</v>
      </c>
      <c r="E79">
        <v>1146500</v>
      </c>
      <c r="F79">
        <v>840.24342882293195</v>
      </c>
      <c r="H79" t="s">
        <v>6</v>
      </c>
      <c r="I79">
        <v>71.811557999993852</v>
      </c>
      <c r="J79">
        <f>DTDRpat_result0[[#This Row],[gap of angle (rad)2]]*10000</f>
        <v>1.5502502610918143</v>
      </c>
      <c r="K79">
        <v>1.5502502610918143E-4</v>
      </c>
    </row>
    <row r="80" spans="1:11" x14ac:dyDescent="0.3">
      <c r="A80" t="s">
        <v>6</v>
      </c>
      <c r="B80">
        <v>73.690457999995601</v>
      </c>
      <c r="C80" s="4">
        <f t="shared" si="1"/>
        <v>1.2238865627023798</v>
      </c>
      <c r="D80">
        <v>1.2238865627023799E-4</v>
      </c>
      <c r="E80">
        <v>1176500</v>
      </c>
      <c r="F80">
        <v>842.95311093685496</v>
      </c>
      <c r="H80" t="s">
        <v>6</v>
      </c>
      <c r="I80">
        <v>73.690457999995672</v>
      </c>
      <c r="J80">
        <f>DTDRpat_result0[[#This Row],[gap of angle (rad)2]]*10000</f>
        <v>1.5947699885174964</v>
      </c>
      <c r="K80">
        <v>1.5947699885174963E-4</v>
      </c>
    </row>
    <row r="81" spans="1:11" x14ac:dyDescent="0.3">
      <c r="A81" t="s">
        <v>6</v>
      </c>
      <c r="B81">
        <v>73.690457999995601</v>
      </c>
      <c r="C81" s="4">
        <f t="shared" si="1"/>
        <v>1.23861058522581</v>
      </c>
      <c r="D81">
        <v>1.23861058522581E-4</v>
      </c>
      <c r="E81">
        <v>1176500</v>
      </c>
      <c r="F81">
        <v>837.92862708696998</v>
      </c>
      <c r="H81" t="s">
        <v>6</v>
      </c>
      <c r="I81">
        <v>73.690457999995672</v>
      </c>
      <c r="J81">
        <f>DTDRpat_result0[[#This Row],[gap of angle (rad)2]]*10000</f>
        <v>1.5947699745941968</v>
      </c>
      <c r="K81">
        <v>1.5947699745941967E-4</v>
      </c>
    </row>
    <row r="82" spans="1:11" x14ac:dyDescent="0.3">
      <c r="A82" t="s">
        <v>6</v>
      </c>
      <c r="B82">
        <v>75.588146999997505</v>
      </c>
      <c r="C82" s="4">
        <f t="shared" si="1"/>
        <v>1.23146220916455</v>
      </c>
      <c r="D82">
        <v>1.23146220916455E-4</v>
      </c>
      <c r="E82">
        <v>1206800</v>
      </c>
      <c r="F82">
        <v>840.35667668686597</v>
      </c>
      <c r="H82" t="s">
        <v>6</v>
      </c>
      <c r="I82">
        <v>75.588146999997534</v>
      </c>
      <c r="J82">
        <f>DTDRpat_result0[[#This Row],[gap of angle (rad)2]]*10000</f>
        <v>1.6376142075353965</v>
      </c>
      <c r="K82">
        <v>1.6376142075353965E-4</v>
      </c>
    </row>
    <row r="83" spans="1:11" x14ac:dyDescent="0.3">
      <c r="A83" t="s">
        <v>6</v>
      </c>
      <c r="B83">
        <v>75.588146999997505</v>
      </c>
      <c r="C83" s="4">
        <f t="shared" si="1"/>
        <v>1.2447789342197901</v>
      </c>
      <c r="D83">
        <v>1.2447789342197901E-4</v>
      </c>
      <c r="E83">
        <v>1206800</v>
      </c>
      <c r="F83">
        <v>835.85035138772105</v>
      </c>
      <c r="H83" t="s">
        <v>6</v>
      </c>
      <c r="I83">
        <v>75.588146999997534</v>
      </c>
      <c r="J83">
        <f>DTDRpat_result0[[#This Row],[gap of angle (rad)2]]*10000</f>
        <v>1.6376141804173359</v>
      </c>
      <c r="K83">
        <v>1.6376141804173359E-4</v>
      </c>
    </row>
    <row r="84" spans="1:11" x14ac:dyDescent="0.3">
      <c r="A84" t="s">
        <v>6</v>
      </c>
      <c r="B84">
        <v>77.467046999999297</v>
      </c>
      <c r="C84" s="4">
        <f t="shared" si="1"/>
        <v>1.2383099772099999</v>
      </c>
      <c r="D84">
        <v>1.2383099772099999E-4</v>
      </c>
      <c r="E84">
        <v>1236800</v>
      </c>
      <c r="F84">
        <v>838.030306710491</v>
      </c>
      <c r="H84" t="s">
        <v>6</v>
      </c>
      <c r="I84">
        <v>77.467046999999354</v>
      </c>
      <c r="J84">
        <f>DTDRpat_result0[[#This Row],[gap of angle (rad)2]]*10000</f>
        <v>1.677186244515914</v>
      </c>
      <c r="K84">
        <v>1.677186244515914E-4</v>
      </c>
    </row>
    <row r="85" spans="1:11" x14ac:dyDescent="0.3">
      <c r="A85" t="s">
        <v>6</v>
      </c>
      <c r="B85">
        <v>77.467046999999297</v>
      </c>
      <c r="C85" s="4">
        <f t="shared" si="1"/>
        <v>1.25012809464634</v>
      </c>
      <c r="D85">
        <v>1.25012809464634E-4</v>
      </c>
      <c r="E85">
        <v>1236800</v>
      </c>
      <c r="F85">
        <v>834.06061719590002</v>
      </c>
      <c r="H85" t="s">
        <v>6</v>
      </c>
      <c r="I85">
        <v>77.467046999999354</v>
      </c>
      <c r="J85">
        <f>DTDRpat_result0[[#This Row],[gap of angle (rad)2]]*10000</f>
        <v>1.6771862312767996</v>
      </c>
      <c r="K85">
        <v>1.6771862312767996E-4</v>
      </c>
    </row>
    <row r="86" spans="1:11" x14ac:dyDescent="0.3">
      <c r="A86" t="s">
        <v>6</v>
      </c>
      <c r="B86">
        <v>79.358473000001098</v>
      </c>
      <c r="C86" s="4">
        <f t="shared" si="1"/>
        <v>1.24449322465249</v>
      </c>
      <c r="D86">
        <v>1.24449322465249E-4</v>
      </c>
      <c r="E86">
        <v>1267000</v>
      </c>
      <c r="F86">
        <v>835.94626772042204</v>
      </c>
      <c r="H86" t="s">
        <v>6</v>
      </c>
      <c r="I86">
        <v>79.358473000001183</v>
      </c>
      <c r="J86">
        <f>DTDRpat_result0[[#This Row],[gap of angle (rad)2]]*10000</f>
        <v>1.7133846913642266</v>
      </c>
      <c r="K86">
        <v>1.7133846913642265E-4</v>
      </c>
    </row>
    <row r="87" spans="1:11" x14ac:dyDescent="0.3">
      <c r="A87" t="s">
        <v>6</v>
      </c>
      <c r="B87">
        <v>79.358473000001098</v>
      </c>
      <c r="C87" s="4">
        <f t="shared" si="1"/>
        <v>1.2547068762848801</v>
      </c>
      <c r="D87">
        <v>1.2547068762848801E-4</v>
      </c>
      <c r="E87">
        <v>1267000</v>
      </c>
      <c r="F87">
        <v>832.53784155155302</v>
      </c>
      <c r="H87" t="s">
        <v>6</v>
      </c>
      <c r="I87">
        <v>79.358473000001183</v>
      </c>
      <c r="J87">
        <f>DTDRpat_result0[[#This Row],[gap of angle (rad)2]]*10000</f>
        <v>1.713384678404813</v>
      </c>
      <c r="K87">
        <v>1.713384678404813E-4</v>
      </c>
    </row>
    <row r="88" spans="1:11" x14ac:dyDescent="0.3">
      <c r="A88" t="s">
        <v>6</v>
      </c>
      <c r="B88">
        <v>81.249899000002998</v>
      </c>
      <c r="C88" s="4">
        <f t="shared" si="1"/>
        <v>1.24991426043224</v>
      </c>
      <c r="D88">
        <v>1.24991426043224E-4</v>
      </c>
      <c r="E88">
        <v>1297200</v>
      </c>
      <c r="F88">
        <v>834.13195009857895</v>
      </c>
      <c r="H88" t="s">
        <v>6</v>
      </c>
      <c r="I88">
        <v>81.24989900000304</v>
      </c>
      <c r="J88">
        <f>DTDRpat_result0[[#This Row],[gap of angle (rad)2]]*10000</f>
        <v>1.7451649083291758</v>
      </c>
      <c r="K88">
        <v>1.7451649083291757E-4</v>
      </c>
    </row>
    <row r="89" spans="1:11" x14ac:dyDescent="0.3">
      <c r="A89" t="s">
        <v>6</v>
      </c>
      <c r="B89">
        <v>81.249899000002998</v>
      </c>
      <c r="C89" s="4">
        <f t="shared" si="1"/>
        <v>1.2584384765693799</v>
      </c>
      <c r="D89">
        <v>1.2584384765693799E-4</v>
      </c>
      <c r="E89">
        <v>1297200</v>
      </c>
      <c r="F89">
        <v>831.30305110242205</v>
      </c>
      <c r="H89" t="s">
        <v>6</v>
      </c>
      <c r="I89">
        <v>81.24989900000304</v>
      </c>
      <c r="J89">
        <f>DTDRpat_result0[[#This Row],[gap of angle (rad)2]]*10000</f>
        <v>1.7451649210525926</v>
      </c>
      <c r="K89">
        <v>1.7451649210525926E-4</v>
      </c>
    </row>
    <row r="90" spans="1:11" x14ac:dyDescent="0.3">
      <c r="A90" t="s">
        <v>6</v>
      </c>
      <c r="B90">
        <v>83.141325000004798</v>
      </c>
      <c r="C90" s="4">
        <f t="shared" si="1"/>
        <v>1.25452835464545</v>
      </c>
      <c r="D90">
        <v>1.25452835464545E-4</v>
      </c>
      <c r="E90">
        <v>1327400</v>
      </c>
      <c r="F90">
        <v>832.59704620215996</v>
      </c>
      <c r="H90" t="s">
        <v>6</v>
      </c>
      <c r="I90">
        <v>83.141325000004883</v>
      </c>
      <c r="J90">
        <f>DTDRpat_result0[[#This Row],[gap of angle (rad)2]]*10000</f>
        <v>1.771799381908602</v>
      </c>
      <c r="K90">
        <v>1.771799381908602E-4</v>
      </c>
    </row>
    <row r="91" spans="1:11" x14ac:dyDescent="0.3">
      <c r="A91" t="s">
        <v>6</v>
      </c>
      <c r="B91">
        <v>83.141325000004798</v>
      </c>
      <c r="C91" s="4">
        <f t="shared" si="1"/>
        <v>1.26129116585959</v>
      </c>
      <c r="D91">
        <v>1.2612911658595901E-4</v>
      </c>
      <c r="E91">
        <v>1327400</v>
      </c>
      <c r="F91">
        <v>830.36292129018</v>
      </c>
      <c r="H91" t="s">
        <v>6</v>
      </c>
      <c r="I91">
        <v>83.141325000004883</v>
      </c>
      <c r="J91">
        <f>DTDRpat_result0[[#This Row],[gap of angle (rad)2]]*10000</f>
        <v>1.7717993944407548</v>
      </c>
      <c r="K91">
        <v>1.7717993944407548E-4</v>
      </c>
    </row>
    <row r="92" spans="1:11" x14ac:dyDescent="0.3">
      <c r="A92" t="s">
        <v>6</v>
      </c>
      <c r="B92">
        <v>85.020225000006704</v>
      </c>
      <c r="C92" s="4">
        <f t="shared" si="1"/>
        <v>1.2582747694938199</v>
      </c>
      <c r="D92">
        <v>1.2582747694938199E-4</v>
      </c>
      <c r="E92">
        <v>1357400</v>
      </c>
      <c r="F92">
        <v>831.35710626537696</v>
      </c>
      <c r="H92" t="s">
        <v>6</v>
      </c>
      <c r="I92">
        <v>85.020225000006718</v>
      </c>
      <c r="J92">
        <f>DTDRpat_result0[[#This Row],[gap of angle (rad)2]]*10000</f>
        <v>1.7925227870527649</v>
      </c>
      <c r="K92">
        <v>1.7925227870527649E-4</v>
      </c>
    </row>
    <row r="93" spans="1:11" x14ac:dyDescent="0.3">
      <c r="A93" t="s">
        <v>6</v>
      </c>
      <c r="B93">
        <v>85.020225000006704</v>
      </c>
      <c r="C93" s="4">
        <f t="shared" si="1"/>
        <v>1.2632304355721</v>
      </c>
      <c r="D93">
        <v>1.2632304355720999E-4</v>
      </c>
      <c r="E93">
        <v>1357400</v>
      </c>
      <c r="F93">
        <v>829.72580210667104</v>
      </c>
      <c r="H93" t="s">
        <v>6</v>
      </c>
      <c r="I93">
        <v>85.020225000006718</v>
      </c>
      <c r="J93">
        <f>DTDRpat_result0[[#This Row],[gap of angle (rad)2]]*10000</f>
        <v>1.792522799440033</v>
      </c>
      <c r="K93">
        <v>1.7925227994400331E-4</v>
      </c>
    </row>
    <row r="94" spans="1:11" x14ac:dyDescent="0.3">
      <c r="A94" t="s">
        <v>6</v>
      </c>
      <c r="B94">
        <v>86.899125000008496</v>
      </c>
      <c r="C94" s="4">
        <f t="shared" si="1"/>
        <v>1.2611552162151498</v>
      </c>
      <c r="D94">
        <v>1.2611552162151499E-4</v>
      </c>
      <c r="E94">
        <v>1387400</v>
      </c>
      <c r="F94">
        <v>830.407649779027</v>
      </c>
      <c r="H94" t="s">
        <v>6</v>
      </c>
      <c r="I94">
        <v>86.899125000008539</v>
      </c>
      <c r="J94">
        <f>DTDRpat_result0[[#This Row],[gap of angle (rad)2]]*10000</f>
        <v>1.8070078250181942</v>
      </c>
      <c r="K94">
        <v>1.8070078250181942E-4</v>
      </c>
    </row>
    <row r="95" spans="1:11" x14ac:dyDescent="0.3">
      <c r="A95" t="s">
        <v>6</v>
      </c>
      <c r="B95">
        <v>86.899125000008496</v>
      </c>
      <c r="C95" s="4">
        <f t="shared" si="1"/>
        <v>1.2642614286721601</v>
      </c>
      <c r="D95">
        <v>1.2642614286721601E-4</v>
      </c>
      <c r="E95">
        <v>1387400</v>
      </c>
      <c r="F95">
        <v>829.38791525994895</v>
      </c>
      <c r="H95" t="s">
        <v>6</v>
      </c>
      <c r="I95">
        <v>86.899125000008539</v>
      </c>
      <c r="J95">
        <f>DTDRpat_result0[[#This Row],[gap of angle (rad)2]]*10000</f>
        <v>1.8070078250181942</v>
      </c>
      <c r="K95">
        <v>1.8070078250181942E-4</v>
      </c>
    </row>
    <row r="96" spans="1:11" x14ac:dyDescent="0.3">
      <c r="A96" t="s">
        <v>6</v>
      </c>
      <c r="B96">
        <v>88.790551000010296</v>
      </c>
      <c r="C96" s="4">
        <f t="shared" si="1"/>
        <v>1.2631554300597099</v>
      </c>
      <c r="D96">
        <v>1.26315543005971E-4</v>
      </c>
      <c r="E96">
        <v>1417600</v>
      </c>
      <c r="F96">
        <v>829.75040344347894</v>
      </c>
      <c r="H96" t="s">
        <v>6</v>
      </c>
      <c r="I96">
        <v>88.790551000010367</v>
      </c>
      <c r="J96">
        <f>DTDRpat_result0[[#This Row],[gap of angle (rad)2]]*10000</f>
        <v>1.8149070238261114</v>
      </c>
      <c r="K96">
        <v>1.8149070238261114E-4</v>
      </c>
    </row>
    <row r="97" spans="1:11" x14ac:dyDescent="0.3">
      <c r="A97" t="s">
        <v>6</v>
      </c>
      <c r="B97">
        <v>88.790551000010296</v>
      </c>
      <c r="C97" s="4">
        <f t="shared" si="1"/>
        <v>1.2643729412134401</v>
      </c>
      <c r="D97">
        <v>1.26437294121344E-4</v>
      </c>
      <c r="E97">
        <v>1417600</v>
      </c>
      <c r="F97">
        <v>829.35184572603305</v>
      </c>
      <c r="H97" t="s">
        <v>6</v>
      </c>
      <c r="I97">
        <v>88.790551000010367</v>
      </c>
      <c r="J97">
        <f>DTDRpat_result0[[#This Row],[gap of angle (rad)2]]*10000</f>
        <v>1.8149070360606006</v>
      </c>
      <c r="K97">
        <v>1.8149070360606005E-4</v>
      </c>
    </row>
    <row r="98" spans="1:11" x14ac:dyDescent="0.3">
      <c r="A98" t="s">
        <v>6</v>
      </c>
      <c r="B98">
        <v>90.681977000012196</v>
      </c>
      <c r="C98" s="4">
        <f t="shared" si="1"/>
        <v>1.2642359354484398</v>
      </c>
      <c r="D98">
        <v>1.2642359354484399E-4</v>
      </c>
      <c r="E98">
        <v>1447800</v>
      </c>
      <c r="F98">
        <v>829.39625657707597</v>
      </c>
      <c r="H98" t="s">
        <v>6</v>
      </c>
      <c r="I98">
        <v>90.681977000012225</v>
      </c>
      <c r="J98">
        <f>DTDRpat_result0[[#This Row],[gap of angle (rad)2]]*10000</f>
        <v>1.8158894626900515</v>
      </c>
      <c r="K98">
        <v>1.8158894626900515E-4</v>
      </c>
    </row>
    <row r="99" spans="1:11" x14ac:dyDescent="0.3">
      <c r="A99" t="s">
        <v>6</v>
      </c>
      <c r="B99">
        <v>90.681977000012196</v>
      </c>
      <c r="C99" s="4">
        <f t="shared" si="1"/>
        <v>1.2635540666029599</v>
      </c>
      <c r="D99">
        <v>1.2635540666029599E-4</v>
      </c>
      <c r="E99">
        <v>1447800</v>
      </c>
      <c r="F99">
        <v>829.62105001152202</v>
      </c>
      <c r="H99" t="s">
        <v>6</v>
      </c>
      <c r="I99">
        <v>90.681977000012225</v>
      </c>
      <c r="J99">
        <f>DTDRpat_result0[[#This Row],[gap of angle (rad)2]]*10000</f>
        <v>1.8158894626900515</v>
      </c>
      <c r="K99">
        <v>1.8158894626900515E-4</v>
      </c>
    </row>
    <row r="100" spans="1:11" x14ac:dyDescent="0.3">
      <c r="A100" t="s">
        <v>6</v>
      </c>
      <c r="B100">
        <v>92.573403000014096</v>
      </c>
      <c r="C100" s="4">
        <f t="shared" si="1"/>
        <v>1.26438722752566</v>
      </c>
      <c r="D100">
        <v>1.2643872275256601E-4</v>
      </c>
      <c r="E100">
        <v>1478000</v>
      </c>
      <c r="F100">
        <v>829.34714107935201</v>
      </c>
      <c r="H100" t="s">
        <v>6</v>
      </c>
      <c r="I100">
        <v>92.573403000014096</v>
      </c>
      <c r="J100">
        <f>DTDRpat_result0[[#This Row],[gap of angle (rad)2]]*10000</f>
        <v>1.8099284045976154</v>
      </c>
      <c r="K100">
        <v>1.8099284045976154E-4</v>
      </c>
    </row>
    <row r="101" spans="1:11" x14ac:dyDescent="0.3">
      <c r="A101" t="s">
        <v>6</v>
      </c>
      <c r="B101">
        <v>92.573403000014096</v>
      </c>
      <c r="C101" s="4">
        <f t="shared" si="1"/>
        <v>1.2618119417064602</v>
      </c>
      <c r="D101">
        <v>1.2618119417064601E-4</v>
      </c>
      <c r="E101">
        <v>1478000</v>
      </c>
      <c r="F101">
        <v>830.19405909413695</v>
      </c>
      <c r="H101" t="s">
        <v>6</v>
      </c>
      <c r="I101">
        <v>92.573403000014096</v>
      </c>
      <c r="J101">
        <f>DTDRpat_result0[[#This Row],[gap of angle (rad)2]]*10000</f>
        <v>1.8099284168657583</v>
      </c>
      <c r="K101">
        <v>1.8099284168657584E-4</v>
      </c>
    </row>
    <row r="102" spans="1:11" x14ac:dyDescent="0.3">
      <c r="A102" t="s">
        <v>6</v>
      </c>
      <c r="B102">
        <v>94.452303000016002</v>
      </c>
      <c r="C102" s="4">
        <f t="shared" si="1"/>
        <v>1.2636162208450801</v>
      </c>
      <c r="D102">
        <v>1.26361622084508E-4</v>
      </c>
      <c r="E102">
        <v>1508000</v>
      </c>
      <c r="F102">
        <v>829.60062641554703</v>
      </c>
      <c r="H102" t="s">
        <v>6</v>
      </c>
      <c r="I102">
        <v>94.452303000016087</v>
      </c>
      <c r="J102">
        <f>DTDRpat_result0[[#This Row],[gap of angle (rad)2]]*10000</f>
        <v>1.79729122861858</v>
      </c>
      <c r="K102">
        <v>1.79729122861858E-4</v>
      </c>
    </row>
    <row r="103" spans="1:11" x14ac:dyDescent="0.3">
      <c r="A103" t="s">
        <v>6</v>
      </c>
      <c r="B103">
        <v>94.452303000016002</v>
      </c>
      <c r="C103" s="4">
        <f t="shared" si="1"/>
        <v>1.25918227929511</v>
      </c>
      <c r="D103">
        <v>1.25918227929511E-4</v>
      </c>
      <c r="E103">
        <v>1508000</v>
      </c>
      <c r="F103">
        <v>831.06098558871201</v>
      </c>
      <c r="H103" t="s">
        <v>6</v>
      </c>
      <c r="I103">
        <v>94.452303000016087</v>
      </c>
      <c r="J103">
        <f>DTDRpat_result0[[#This Row],[gap of angle (rad)2]]*10000</f>
        <v>1.7972912162641768</v>
      </c>
      <c r="K103">
        <v>1.7972912162641768E-4</v>
      </c>
    </row>
    <row r="104" spans="1:11" x14ac:dyDescent="0.3">
      <c r="A104" t="s">
        <v>6</v>
      </c>
      <c r="B104">
        <v>96.331203000017993</v>
      </c>
      <c r="C104" s="4">
        <f t="shared" si="1"/>
        <v>1.26193357705553</v>
      </c>
      <c r="D104">
        <v>1.2619335770555301E-4</v>
      </c>
      <c r="E104">
        <v>1538000</v>
      </c>
      <c r="F104">
        <v>830.15401769104506</v>
      </c>
      <c r="H104" t="s">
        <v>6</v>
      </c>
      <c r="I104">
        <v>96.331203000018064</v>
      </c>
      <c r="J104">
        <f>DTDRpat_result0[[#This Row],[gap of angle (rad)2]]*10000</f>
        <v>1.7782926797246044</v>
      </c>
      <c r="K104">
        <v>1.7782926797246045E-4</v>
      </c>
    </row>
    <row r="105" spans="1:11" x14ac:dyDescent="0.3">
      <c r="A105" t="s">
        <v>6</v>
      </c>
      <c r="B105">
        <v>96.331203000017993</v>
      </c>
      <c r="C105" s="4">
        <f t="shared" si="1"/>
        <v>1.2556789549146601</v>
      </c>
      <c r="D105">
        <v>1.2556789549146601E-4</v>
      </c>
      <c r="E105">
        <v>1538000</v>
      </c>
      <c r="F105">
        <v>832.21997959591602</v>
      </c>
      <c r="H105" t="s">
        <v>6</v>
      </c>
      <c r="I105">
        <v>96.331203000018064</v>
      </c>
      <c r="J105">
        <f>DTDRpat_result0[[#This Row],[gap of angle (rad)2]]*10000</f>
        <v>1.7782926734814082</v>
      </c>
      <c r="K105">
        <v>1.7782926734814081E-4</v>
      </c>
    </row>
    <row r="106" spans="1:11" x14ac:dyDescent="0.3">
      <c r="A106" t="s">
        <v>6</v>
      </c>
      <c r="B106">
        <v>98.228892000019997</v>
      </c>
      <c r="C106" s="4">
        <f t="shared" si="1"/>
        <v>1.25932361694599</v>
      </c>
      <c r="D106">
        <v>1.2593236169459901E-4</v>
      </c>
      <c r="E106">
        <v>1568300</v>
      </c>
      <c r="F106">
        <v>831.01432801463</v>
      </c>
      <c r="H106" t="s">
        <v>6</v>
      </c>
      <c r="I106">
        <v>98.228892000020082</v>
      </c>
      <c r="J106">
        <f>DTDRpat_result0[[#This Row],[gap of angle (rad)2]]*10000</f>
        <v>1.7531395828626546</v>
      </c>
      <c r="K106">
        <v>1.7531395828626546E-4</v>
      </c>
    </row>
    <row r="107" spans="1:11" x14ac:dyDescent="0.3">
      <c r="A107" t="s">
        <v>6</v>
      </c>
      <c r="B107">
        <v>98.228892000019997</v>
      </c>
      <c r="C107" s="4">
        <f t="shared" si="1"/>
        <v>1.2512839389332602</v>
      </c>
      <c r="D107">
        <v>1.2512839389332601E-4</v>
      </c>
      <c r="E107">
        <v>1568300</v>
      </c>
      <c r="F107">
        <v>833.68071909697403</v>
      </c>
      <c r="H107" t="s">
        <v>6</v>
      </c>
      <c r="I107">
        <v>98.228892000020082</v>
      </c>
      <c r="J107">
        <f>DTDRpat_result0[[#This Row],[gap of angle (rad)2]]*10000</f>
        <v>1.7531395701971138</v>
      </c>
      <c r="K107">
        <v>1.7531395701971138E-4</v>
      </c>
    </row>
    <row r="108" spans="1:11" x14ac:dyDescent="0.3">
      <c r="A108" t="s">
        <v>6</v>
      </c>
      <c r="B108">
        <v>100.120318000022</v>
      </c>
      <c r="C108" s="4">
        <f t="shared" si="1"/>
        <v>1.2558342040822301</v>
      </c>
      <c r="D108">
        <v>1.2558342040822301E-4</v>
      </c>
      <c r="E108">
        <v>1598500</v>
      </c>
      <c r="F108">
        <v>832.16852114512096</v>
      </c>
      <c r="H108" t="s">
        <v>6</v>
      </c>
      <c r="I108">
        <v>100.12031800002208</v>
      </c>
      <c r="J108">
        <f>DTDRpat_result0[[#This Row],[gap of angle (rad)2]]*10000</f>
        <v>1.7227239502102365</v>
      </c>
      <c r="K108">
        <v>1.7227239502102366E-4</v>
      </c>
    </row>
    <row r="109" spans="1:11" x14ac:dyDescent="0.3">
      <c r="A109" t="s">
        <v>6</v>
      </c>
      <c r="B109">
        <v>100.120318000022</v>
      </c>
      <c r="C109" s="4">
        <f t="shared" si="1"/>
        <v>1.24608368537018</v>
      </c>
      <c r="D109">
        <v>1.24608368537018E-4</v>
      </c>
      <c r="E109">
        <v>1598500</v>
      </c>
      <c r="F109">
        <v>835.41894806211701</v>
      </c>
      <c r="H109" t="s">
        <v>6</v>
      </c>
      <c r="I109">
        <v>100.12031800002208</v>
      </c>
      <c r="J109">
        <f>DTDRpat_result0[[#This Row],[gap of angle (rad)2]]*10000</f>
        <v>1.722723963099394</v>
      </c>
      <c r="K109">
        <v>1.7227239630993941E-4</v>
      </c>
    </row>
    <row r="110" spans="1:11" x14ac:dyDescent="0.3">
      <c r="A110" t="s">
        <v>6</v>
      </c>
      <c r="B110">
        <v>101.999218000024</v>
      </c>
      <c r="C110" s="4">
        <f t="shared" si="1"/>
        <v>1.2515196103627</v>
      </c>
      <c r="D110">
        <v>1.2515196103627001E-4</v>
      </c>
      <c r="E110">
        <v>1628500</v>
      </c>
      <c r="F110">
        <v>833.60219105220096</v>
      </c>
      <c r="H110" t="s">
        <v>6</v>
      </c>
      <c r="I110">
        <v>101.99921800002406</v>
      </c>
      <c r="J110">
        <f>DTDRpat_result0[[#This Row],[gap of angle (rad)2]]*10000</f>
        <v>1.6879269758565614</v>
      </c>
      <c r="K110">
        <v>1.6879269758565614E-4</v>
      </c>
    </row>
    <row r="111" spans="1:11" x14ac:dyDescent="0.3">
      <c r="A111" t="s">
        <v>6</v>
      </c>
      <c r="B111">
        <v>101.999218000024</v>
      </c>
      <c r="C111" s="4">
        <f t="shared" si="1"/>
        <v>1.2401502042419801</v>
      </c>
      <c r="D111">
        <v>1.24015020424198E-4</v>
      </c>
      <c r="E111">
        <v>1628500</v>
      </c>
      <c r="F111">
        <v>837.415518405189</v>
      </c>
      <c r="H111" t="s">
        <v>6</v>
      </c>
      <c r="I111">
        <v>101.99921800002406</v>
      </c>
      <c r="J111">
        <f>DTDRpat_result0[[#This Row],[gap of angle (rad)2]]*10000</f>
        <v>1.6879269890114319</v>
      </c>
      <c r="K111">
        <v>1.687926989011432E-4</v>
      </c>
    </row>
    <row r="112" spans="1:11" x14ac:dyDescent="0.3">
      <c r="A112" t="s">
        <v>6</v>
      </c>
      <c r="B112">
        <v>103.87811800002601</v>
      </c>
      <c r="C112" s="4">
        <f t="shared" si="1"/>
        <v>1.24639557489169</v>
      </c>
      <c r="D112">
        <v>1.2463955748916899E-4</v>
      </c>
      <c r="E112">
        <v>1658500</v>
      </c>
      <c r="F112">
        <v>835.31439286939303</v>
      </c>
      <c r="H112" t="s">
        <v>6</v>
      </c>
      <c r="I112">
        <v>103.87811800002605</v>
      </c>
      <c r="J112">
        <f>DTDRpat_result0[[#This Row],[gap of angle (rad)2]]*10000</f>
        <v>1.6493110564615336</v>
      </c>
      <c r="K112">
        <v>1.6493110564615336E-4</v>
      </c>
    </row>
    <row r="113" spans="1:11" x14ac:dyDescent="0.3">
      <c r="A113" t="s">
        <v>6</v>
      </c>
      <c r="B113">
        <v>103.87811800002601</v>
      </c>
      <c r="C113" s="4">
        <f t="shared" si="1"/>
        <v>1.2334992142977799</v>
      </c>
      <c r="D113">
        <v>1.2334992142977799E-4</v>
      </c>
      <c r="E113">
        <v>1658500</v>
      </c>
      <c r="F113">
        <v>839.67055370291405</v>
      </c>
      <c r="H113" t="s">
        <v>6</v>
      </c>
      <c r="I113">
        <v>103.87811800002605</v>
      </c>
      <c r="J113">
        <f>DTDRpat_result0[[#This Row],[gap of angle (rad)2]]*10000</f>
        <v>1.6493110564615336</v>
      </c>
      <c r="K113">
        <v>1.6493110564615336E-4</v>
      </c>
    </row>
    <row r="114" spans="1:11" x14ac:dyDescent="0.3">
      <c r="A114" t="s">
        <v>6</v>
      </c>
      <c r="B114">
        <v>105.757018000028</v>
      </c>
      <c r="C114" s="4">
        <f t="shared" si="1"/>
        <v>1.2405039766061701</v>
      </c>
      <c r="D114">
        <v>1.2405039766061701E-4</v>
      </c>
      <c r="E114">
        <v>1688500</v>
      </c>
      <c r="F114">
        <v>837.29608044122801</v>
      </c>
      <c r="H114" t="s">
        <v>6</v>
      </c>
      <c r="I114">
        <v>105.75701800002803</v>
      </c>
      <c r="J114">
        <f>DTDRpat_result0[[#This Row],[gap of angle (rad)2]]*10000</f>
        <v>1.6076404421169297</v>
      </c>
      <c r="K114">
        <v>1.6076404421169296E-4</v>
      </c>
    </row>
    <row r="115" spans="1:11" x14ac:dyDescent="0.3">
      <c r="A115" t="s">
        <v>6</v>
      </c>
      <c r="B115">
        <v>105.757018000028</v>
      </c>
      <c r="C115" s="4">
        <f t="shared" si="1"/>
        <v>1.2261827199452602</v>
      </c>
      <c r="D115">
        <v>1.2261827199452601E-4</v>
      </c>
      <c r="E115">
        <v>1688500</v>
      </c>
      <c r="F115">
        <v>842.17232298930401</v>
      </c>
      <c r="H115" t="s">
        <v>6</v>
      </c>
      <c r="I115">
        <v>105.75701800002803</v>
      </c>
      <c r="J115">
        <f>DTDRpat_result0[[#This Row],[gap of angle (rad)2]]*10000</f>
        <v>1.6076404283050971</v>
      </c>
      <c r="K115">
        <v>1.6076404283050971E-4</v>
      </c>
    </row>
    <row r="116" spans="1:11" x14ac:dyDescent="0.3">
      <c r="A116" t="s">
        <v>6</v>
      </c>
      <c r="B116">
        <v>107.65470700003</v>
      </c>
      <c r="C116" s="4">
        <f t="shared" si="1"/>
        <v>1.23382246441362</v>
      </c>
      <c r="D116">
        <v>1.2338224644136201E-4</v>
      </c>
      <c r="E116">
        <v>1718800</v>
      </c>
      <c r="F116">
        <v>839.56053481236097</v>
      </c>
      <c r="H116" t="s">
        <v>6</v>
      </c>
      <c r="I116">
        <v>107.65470700003004</v>
      </c>
      <c r="J116">
        <f>DTDRpat_result0[[#This Row],[gap of angle (rad)2]]*10000</f>
        <v>1.5632171670063864</v>
      </c>
      <c r="K116">
        <v>1.5632171670063863E-4</v>
      </c>
    </row>
    <row r="117" spans="1:11" x14ac:dyDescent="0.3">
      <c r="A117" t="s">
        <v>6</v>
      </c>
      <c r="B117">
        <v>107.65470700003</v>
      </c>
      <c r="C117" s="4">
        <f t="shared" si="1"/>
        <v>1.2181743212228799</v>
      </c>
      <c r="D117">
        <v>1.21817432122288E-4</v>
      </c>
      <c r="E117">
        <v>1718800</v>
      </c>
      <c r="F117">
        <v>844.93641833305196</v>
      </c>
      <c r="H117" t="s">
        <v>6</v>
      </c>
      <c r="I117">
        <v>107.65470700003004</v>
      </c>
      <c r="J117">
        <f>DTDRpat_result0[[#This Row],[gap of angle (rad)2]]*10000</f>
        <v>1.5632171599042186</v>
      </c>
      <c r="K117">
        <v>1.5632171599042185E-4</v>
      </c>
    </row>
    <row r="118" spans="1:11" x14ac:dyDescent="0.3">
      <c r="A118" t="s">
        <v>6</v>
      </c>
      <c r="B118">
        <v>109.546133000032</v>
      </c>
      <c r="C118" s="4">
        <f t="shared" si="1"/>
        <v>1.2264849153517801</v>
      </c>
      <c r="D118">
        <v>1.2264849153517801E-4</v>
      </c>
      <c r="E118">
        <v>1749000</v>
      </c>
      <c r="F118">
        <v>842.06855522575802</v>
      </c>
      <c r="H118" t="s">
        <v>6</v>
      </c>
      <c r="I118">
        <v>109.54613300003204</v>
      </c>
      <c r="J118">
        <f>DTDRpat_result0[[#This Row],[gap of angle (rad)2]]*10000</f>
        <v>1.5173316794268084</v>
      </c>
      <c r="K118">
        <v>1.5173316794268085E-4</v>
      </c>
    </row>
    <row r="119" spans="1:11" x14ac:dyDescent="0.3">
      <c r="A119" t="s">
        <v>6</v>
      </c>
      <c r="B119">
        <v>109.546133000032</v>
      </c>
      <c r="C119" s="4">
        <f t="shared" si="1"/>
        <v>1.2096334510147699</v>
      </c>
      <c r="D119">
        <v>1.20963345101477E-4</v>
      </c>
      <c r="E119">
        <v>1749000</v>
      </c>
      <c r="F119">
        <v>847.91443879185204</v>
      </c>
      <c r="H119" t="s">
        <v>6</v>
      </c>
      <c r="I119">
        <v>109.54613300003204</v>
      </c>
      <c r="J119">
        <f>DTDRpat_result0[[#This Row],[gap of angle (rad)2]]*10000</f>
        <v>1.5173316501590339</v>
      </c>
      <c r="K119">
        <v>1.517331650159034E-4</v>
      </c>
    </row>
    <row r="120" spans="1:11" x14ac:dyDescent="0.3">
      <c r="A120" t="s">
        <v>6</v>
      </c>
      <c r="B120">
        <v>111.437559000034</v>
      </c>
      <c r="C120" s="4">
        <f t="shared" si="1"/>
        <v>1.2185271301804599</v>
      </c>
      <c r="D120">
        <v>1.21852713018046E-4</v>
      </c>
      <c r="E120">
        <v>1779200</v>
      </c>
      <c r="F120">
        <v>844.81407789818002</v>
      </c>
      <c r="H120" t="s">
        <v>6</v>
      </c>
      <c r="I120">
        <v>111.43755900003404</v>
      </c>
      <c r="J120">
        <f>DTDRpat_result0[[#This Row],[gap of angle (rad)2]]*10000</f>
        <v>1.470508966725109</v>
      </c>
      <c r="K120">
        <v>1.470508966725109E-4</v>
      </c>
    </row>
    <row r="121" spans="1:11" x14ac:dyDescent="0.3">
      <c r="A121" t="s">
        <v>6</v>
      </c>
      <c r="B121">
        <v>111.437559000034</v>
      </c>
      <c r="C121" s="4">
        <f t="shared" si="1"/>
        <v>1.2005966099242</v>
      </c>
      <c r="D121">
        <v>1.2005966099242E-4</v>
      </c>
      <c r="E121">
        <v>1779200</v>
      </c>
      <c r="F121">
        <v>851.09987952174095</v>
      </c>
      <c r="H121" t="s">
        <v>6</v>
      </c>
      <c r="I121">
        <v>111.43755900003404</v>
      </c>
      <c r="J121">
        <f>DTDRpat_result0[[#This Row],[gap of angle (rad)2]]*10000</f>
        <v>1.470508966725109</v>
      </c>
      <c r="K121">
        <v>1.470508966725109E-4</v>
      </c>
    </row>
    <row r="122" spans="1:11" x14ac:dyDescent="0.3">
      <c r="A122" t="s">
        <v>6</v>
      </c>
      <c r="B122">
        <v>113.328985000036</v>
      </c>
      <c r="C122" s="4">
        <f t="shared" si="1"/>
        <v>1.21000882611349</v>
      </c>
      <c r="D122">
        <v>1.21000882611349E-4</v>
      </c>
      <c r="E122">
        <v>1809400</v>
      </c>
      <c r="F122">
        <v>847.78289321324303</v>
      </c>
      <c r="H122" t="s">
        <v>6</v>
      </c>
      <c r="I122">
        <v>113.32898500003604</v>
      </c>
      <c r="J122">
        <f>DTDRpat_result0[[#This Row],[gap of angle (rad)2]]*10000</f>
        <v>1.423346024943777</v>
      </c>
      <c r="K122">
        <v>1.4233460249437769E-4</v>
      </c>
    </row>
    <row r="123" spans="1:11" x14ac:dyDescent="0.3">
      <c r="A123" t="s">
        <v>6</v>
      </c>
      <c r="B123">
        <v>113.328985000036</v>
      </c>
      <c r="C123" s="4">
        <f t="shared" si="1"/>
        <v>1.1911270400743301</v>
      </c>
      <c r="D123">
        <v>1.1911270400743301E-4</v>
      </c>
      <c r="E123">
        <v>1809400</v>
      </c>
      <c r="F123">
        <v>854.47662114483205</v>
      </c>
      <c r="H123" t="s">
        <v>6</v>
      </c>
      <c r="I123">
        <v>113.32898500003604</v>
      </c>
      <c r="J123">
        <f>DTDRpat_result0[[#This Row],[gap of angle (rad)2]]*10000</f>
        <v>1.423346024943777</v>
      </c>
      <c r="K123">
        <v>1.4233460249437769E-4</v>
      </c>
    </row>
    <row r="124" spans="1:11" x14ac:dyDescent="0.3">
      <c r="A124" t="s">
        <v>6</v>
      </c>
      <c r="B124">
        <v>115.207885000038</v>
      </c>
      <c r="C124" s="4">
        <f t="shared" si="1"/>
        <v>1.2010530974092999</v>
      </c>
      <c r="D124">
        <v>1.2010530974093E-4</v>
      </c>
      <c r="E124">
        <v>1839400</v>
      </c>
      <c r="F124">
        <v>850.93810967010495</v>
      </c>
      <c r="H124" t="s">
        <v>6</v>
      </c>
      <c r="I124">
        <v>115.20788500003803</v>
      </c>
      <c r="J124">
        <f>DTDRpat_result0[[#This Row],[gap of angle (rad)2]]*10000</f>
        <v>1.3766715263455509</v>
      </c>
      <c r="K124">
        <v>1.376671526345551E-4</v>
      </c>
    </row>
    <row r="125" spans="1:11" x14ac:dyDescent="0.3">
      <c r="A125" t="s">
        <v>6</v>
      </c>
      <c r="B125">
        <v>115.207885000038</v>
      </c>
      <c r="C125" s="4">
        <f t="shared" si="1"/>
        <v>1.1813548314536602</v>
      </c>
      <c r="D125">
        <v>1.1813548314536601E-4</v>
      </c>
      <c r="E125">
        <v>1839400</v>
      </c>
      <c r="F125">
        <v>858.00372767358601</v>
      </c>
      <c r="H125" t="s">
        <v>6</v>
      </c>
      <c r="I125">
        <v>115.20788500003803</v>
      </c>
      <c r="J125">
        <f>DTDRpat_result0[[#This Row],[gap of angle (rad)2]]*10000</f>
        <v>1.3766715102164597</v>
      </c>
      <c r="K125">
        <v>1.3766715102164596E-4</v>
      </c>
    </row>
    <row r="126" spans="1:11" x14ac:dyDescent="0.3">
      <c r="A126" t="s">
        <v>6</v>
      </c>
      <c r="B126">
        <v>117.086785000039</v>
      </c>
      <c r="C126" s="4">
        <f t="shared" si="1"/>
        <v>1.19166726168967</v>
      </c>
      <c r="D126">
        <v>1.19166726168967E-4</v>
      </c>
      <c r="E126">
        <v>1869400</v>
      </c>
      <c r="F126">
        <v>854.28290576905499</v>
      </c>
      <c r="H126" t="s">
        <v>6</v>
      </c>
      <c r="I126">
        <v>117.08678500003998</v>
      </c>
      <c r="J126">
        <f>DTDRpat_result0[[#This Row],[gap of angle (rad)2]]*10000</f>
        <v>1.330604686241609</v>
      </c>
      <c r="K126">
        <v>1.3306046862416091E-4</v>
      </c>
    </row>
    <row r="127" spans="1:11" x14ac:dyDescent="0.3">
      <c r="A127" t="s">
        <v>6</v>
      </c>
      <c r="B127">
        <v>117.086785000039</v>
      </c>
      <c r="C127" s="4">
        <f t="shared" si="1"/>
        <v>1.17128095894749</v>
      </c>
      <c r="D127">
        <v>1.17128095894749E-4</v>
      </c>
      <c r="E127">
        <v>1869400</v>
      </c>
      <c r="F127">
        <v>861.68576660258304</v>
      </c>
      <c r="H127" t="s">
        <v>6</v>
      </c>
      <c r="I127">
        <v>117.08678500003998</v>
      </c>
      <c r="J127">
        <f>DTDRpat_result0[[#This Row],[gap of angle (rad)2]]*10000</f>
        <v>1.330604702929105</v>
      </c>
      <c r="K127">
        <v>1.3306047029291049E-4</v>
      </c>
    </row>
    <row r="128" spans="1:11" x14ac:dyDescent="0.3">
      <c r="A128" t="s">
        <v>6</v>
      </c>
      <c r="B128">
        <v>118.96568500004101</v>
      </c>
      <c r="C128" s="4">
        <f t="shared" si="1"/>
        <v>1.18191388239826</v>
      </c>
      <c r="D128">
        <v>1.18191388239826E-4</v>
      </c>
      <c r="E128">
        <v>1899400</v>
      </c>
      <c r="F128">
        <v>857.80076847245005</v>
      </c>
      <c r="H128" t="s">
        <v>6</v>
      </c>
      <c r="I128">
        <v>118.96568500004193</v>
      </c>
      <c r="J128">
        <f>DTDRpat_result0[[#This Row],[gap of angle (rad)2]]*10000</f>
        <v>1.2855012837404201</v>
      </c>
      <c r="K128">
        <v>1.2855012837404201E-4</v>
      </c>
    </row>
    <row r="129" spans="1:11" x14ac:dyDescent="0.3">
      <c r="A129" t="s">
        <v>6</v>
      </c>
      <c r="B129">
        <v>118.96568500004101</v>
      </c>
      <c r="C129" s="4">
        <f t="shared" si="1"/>
        <v>1.1609671129776</v>
      </c>
      <c r="D129">
        <v>1.1609671129776E-4</v>
      </c>
      <c r="E129">
        <v>1899400</v>
      </c>
      <c r="F129">
        <v>865.50503162073198</v>
      </c>
      <c r="H129" t="s">
        <v>6</v>
      </c>
      <c r="I129">
        <v>118.96568500004193</v>
      </c>
      <c r="J129">
        <f>DTDRpat_result0[[#This Row],[gap of angle (rad)2]]*10000</f>
        <v>1.2855012837404201</v>
      </c>
      <c r="K129">
        <v>1.2855012837404201E-4</v>
      </c>
    </row>
    <row r="130" spans="1:11" x14ac:dyDescent="0.3">
      <c r="A130" t="s">
        <v>6</v>
      </c>
      <c r="B130">
        <v>120.850848000043</v>
      </c>
      <c r="C130" s="4">
        <f t="shared" si="1"/>
        <v>1.1718214049836</v>
      </c>
      <c r="D130">
        <v>1.1718214049835999E-4</v>
      </c>
      <c r="E130">
        <v>1929500</v>
      </c>
      <c r="F130">
        <v>861.48703347386402</v>
      </c>
      <c r="H130" t="s">
        <v>6</v>
      </c>
      <c r="I130">
        <v>120.85084800004387</v>
      </c>
      <c r="J130">
        <f>DTDRpat_result0[[#This Row],[gap of angle (rad)2]]*10000</f>
        <v>1.2415025931847925</v>
      </c>
      <c r="K130">
        <v>1.2415025931847924E-4</v>
      </c>
    </row>
    <row r="131" spans="1:11" x14ac:dyDescent="0.3">
      <c r="A131" t="s">
        <v>6</v>
      </c>
      <c r="B131">
        <v>120.850848000043</v>
      </c>
      <c r="C131" s="4">
        <f t="shared" ref="C131:C194" si="2">D131*10000</f>
        <v>1.15043831934484</v>
      </c>
      <c r="D131">
        <v>1.1504383193448401E-4</v>
      </c>
      <c r="E131">
        <v>1929500</v>
      </c>
      <c r="F131">
        <v>869.45670877188797</v>
      </c>
      <c r="H131" t="s">
        <v>6</v>
      </c>
      <c r="I131">
        <v>120.85084800004387</v>
      </c>
      <c r="J131">
        <f>DTDRpat_result0[[#This Row],[gap of angle (rad)2]]*10000</f>
        <v>1.2415026110699428</v>
      </c>
      <c r="K131">
        <v>1.2415026110699427E-4</v>
      </c>
    </row>
    <row r="132" spans="1:11" x14ac:dyDescent="0.3">
      <c r="A132" t="s">
        <v>6</v>
      </c>
      <c r="B132">
        <v>122.748537000045</v>
      </c>
      <c r="C132" s="4">
        <f t="shared" si="2"/>
        <v>1.1614146763400199</v>
      </c>
      <c r="D132">
        <v>1.1614146763400199E-4</v>
      </c>
      <c r="E132">
        <v>1959800</v>
      </c>
      <c r="F132">
        <v>865.33823891642999</v>
      </c>
      <c r="H132" t="s">
        <v>6</v>
      </c>
      <c r="I132">
        <v>122.74853700004584</v>
      </c>
      <c r="J132">
        <f>DTDRpat_result0[[#This Row],[gap of angle (rad)2]]*10000</f>
        <v>1.1987068967638741</v>
      </c>
      <c r="K132">
        <v>1.198706896763874E-4</v>
      </c>
    </row>
    <row r="133" spans="1:11" x14ac:dyDescent="0.3">
      <c r="A133" t="s">
        <v>6</v>
      </c>
      <c r="B133">
        <v>122.748537000045</v>
      </c>
      <c r="C133" s="4">
        <f t="shared" si="2"/>
        <v>1.1397166174172</v>
      </c>
      <c r="D133">
        <v>1.1397166174172E-4</v>
      </c>
      <c r="E133">
        <v>1959800</v>
      </c>
      <c r="F133">
        <v>873.53689881860601</v>
      </c>
      <c r="H133" t="s">
        <v>6</v>
      </c>
      <c r="I133">
        <v>122.74853700004584</v>
      </c>
      <c r="J133">
        <f>DTDRpat_result0[[#This Row],[gap of angle (rad)2]]*10000</f>
        <v>1.1987068689783567</v>
      </c>
      <c r="K133">
        <v>1.1987068689783567E-4</v>
      </c>
    </row>
    <row r="134" spans="1:11" x14ac:dyDescent="0.3">
      <c r="A134" t="s">
        <v>6</v>
      </c>
      <c r="B134">
        <v>124.639963000047</v>
      </c>
      <c r="C134" s="4">
        <f t="shared" si="2"/>
        <v>1.15085721671778</v>
      </c>
      <c r="D134">
        <v>1.15085721671778E-4</v>
      </c>
      <c r="E134">
        <v>1990000</v>
      </c>
      <c r="F134">
        <v>869.29845108603297</v>
      </c>
      <c r="H134" t="s">
        <v>6</v>
      </c>
      <c r="I134">
        <v>124.6399630000478</v>
      </c>
      <c r="J134">
        <f>DTDRpat_result0[[#This Row],[gap of angle (rad)2]]*10000</f>
        <v>1.1577128438504292</v>
      </c>
      <c r="K134">
        <v>1.1577128438504293E-4</v>
      </c>
    </row>
    <row r="135" spans="1:11" x14ac:dyDescent="0.3">
      <c r="A135" t="s">
        <v>6</v>
      </c>
      <c r="B135">
        <v>124.639963000047</v>
      </c>
      <c r="C135" s="4">
        <f t="shared" si="2"/>
        <v>1.1289649889295998</v>
      </c>
      <c r="D135">
        <v>1.1289649889296E-4</v>
      </c>
      <c r="E135">
        <v>1990000</v>
      </c>
      <c r="F135">
        <v>877.68666593272701</v>
      </c>
      <c r="H135" t="s">
        <v>6</v>
      </c>
      <c r="I135">
        <v>124.6399630000478</v>
      </c>
      <c r="J135">
        <f>DTDRpat_result0[[#This Row],[gap of angle (rad)2]]*10000</f>
        <v>1.1577128438504292</v>
      </c>
      <c r="K135">
        <v>1.1577128438504293E-4</v>
      </c>
    </row>
    <row r="136" spans="1:11" x14ac:dyDescent="0.3">
      <c r="A136" t="s">
        <v>6</v>
      </c>
      <c r="B136">
        <v>126.531389000049</v>
      </c>
      <c r="C136" s="4">
        <f t="shared" si="2"/>
        <v>1.1401747718002</v>
      </c>
      <c r="D136">
        <v>1.1401747718002E-4</v>
      </c>
      <c r="E136">
        <v>2020200</v>
      </c>
      <c r="F136">
        <v>873.361368862532</v>
      </c>
      <c r="H136" t="s">
        <v>6</v>
      </c>
      <c r="I136">
        <v>126.53138900004976</v>
      </c>
      <c r="J136">
        <f>DTDRpat_result0[[#This Row],[gap of angle (rad)2]]*10000</f>
        <v>1.118493914844495</v>
      </c>
      <c r="K136">
        <v>1.1184939148444949E-4</v>
      </c>
    </row>
    <row r="137" spans="1:11" x14ac:dyDescent="0.3">
      <c r="A137" t="s">
        <v>6</v>
      </c>
      <c r="B137">
        <v>126.531389000049</v>
      </c>
      <c r="C137" s="4">
        <f t="shared" si="2"/>
        <v>1.1182030238026699</v>
      </c>
      <c r="D137">
        <v>1.1182030238026699E-4</v>
      </c>
      <c r="E137">
        <v>2020200</v>
      </c>
      <c r="F137">
        <v>881.90019436272701</v>
      </c>
      <c r="H137" t="s">
        <v>6</v>
      </c>
      <c r="I137">
        <v>126.53138900004976</v>
      </c>
      <c r="J137">
        <f>DTDRpat_result0[[#This Row],[gap of angle (rad)2]]*10000</f>
        <v>1.1184939247705483</v>
      </c>
      <c r="K137">
        <v>1.1184939247705482E-4</v>
      </c>
    </row>
    <row r="138" spans="1:11" x14ac:dyDescent="0.3">
      <c r="A138" t="s">
        <v>6</v>
      </c>
      <c r="B138">
        <v>128.42281500005001</v>
      </c>
      <c r="C138" s="4">
        <f t="shared" si="2"/>
        <v>1.12942480149627</v>
      </c>
      <c r="D138">
        <v>1.12942480149627E-4</v>
      </c>
      <c r="E138">
        <v>2050400</v>
      </c>
      <c r="F138">
        <v>877.50798640258904</v>
      </c>
      <c r="H138" t="s">
        <v>6</v>
      </c>
      <c r="I138">
        <v>128.42281500005069</v>
      </c>
      <c r="J138">
        <f>DTDRpat_result0[[#This Row],[gap of angle (rad)2]]*10000</f>
        <v>1.0811250567677839</v>
      </c>
      <c r="K138">
        <v>1.0811250567677839E-4</v>
      </c>
    </row>
    <row r="139" spans="1:11" x14ac:dyDescent="0.3">
      <c r="A139" t="s">
        <v>6</v>
      </c>
      <c r="B139">
        <v>128.42281500005001</v>
      </c>
      <c r="C139" s="4">
        <f t="shared" si="2"/>
        <v>1.1074825505846799</v>
      </c>
      <c r="D139">
        <v>1.10748255058468E-4</v>
      </c>
      <c r="E139">
        <v>2050400</v>
      </c>
      <c r="F139">
        <v>886.15834629187202</v>
      </c>
      <c r="H139" t="s">
        <v>6</v>
      </c>
      <c r="I139">
        <v>128.42281500005069</v>
      </c>
      <c r="J139">
        <f>DTDRpat_result0[[#This Row],[gap of angle (rad)2]]*10000</f>
        <v>1.0811250567677839</v>
      </c>
      <c r="K139">
        <v>1.0811250567677839E-4</v>
      </c>
    </row>
    <row r="140" spans="1:11" x14ac:dyDescent="0.3">
      <c r="A140" t="s">
        <v>6</v>
      </c>
      <c r="B140">
        <v>130.31424100004801</v>
      </c>
      <c r="C140" s="4">
        <f t="shared" si="2"/>
        <v>1.1186621785703099</v>
      </c>
      <c r="D140">
        <v>1.11866217857031E-4</v>
      </c>
      <c r="E140">
        <v>2080600</v>
      </c>
      <c r="F140">
        <v>881.71918299638196</v>
      </c>
      <c r="H140" t="s">
        <v>6</v>
      </c>
      <c r="I140">
        <v>130.31424100004827</v>
      </c>
      <c r="J140">
        <f>DTDRpat_result0[[#This Row],[gap of angle (rad)2]]*10000</f>
        <v>1.04564633466419</v>
      </c>
      <c r="K140">
        <v>1.0456463346641901E-4</v>
      </c>
    </row>
    <row r="141" spans="1:11" x14ac:dyDescent="0.3">
      <c r="A141" t="s">
        <v>6</v>
      </c>
      <c r="B141">
        <v>130.31424100004801</v>
      </c>
      <c r="C141" s="4">
        <f t="shared" si="2"/>
        <v>1.09685246111873</v>
      </c>
      <c r="D141">
        <v>1.0968524611187301E-4</v>
      </c>
      <c r="E141">
        <v>2080600</v>
      </c>
      <c r="F141">
        <v>890.44206055191501</v>
      </c>
      <c r="H141" t="s">
        <v>6</v>
      </c>
      <c r="I141">
        <v>130.31424100004827</v>
      </c>
      <c r="J141">
        <f>DTDRpat_result0[[#This Row],[gap of angle (rad)2]]*10000</f>
        <v>1.04564633466419</v>
      </c>
      <c r="K141">
        <v>1.0456463346641901E-4</v>
      </c>
    </row>
    <row r="142" spans="1:11" x14ac:dyDescent="0.3">
      <c r="A142" t="s">
        <v>6</v>
      </c>
      <c r="B142">
        <v>132.205667000045</v>
      </c>
      <c r="C142" s="4">
        <f t="shared" si="2"/>
        <v>1.10793891327601</v>
      </c>
      <c r="D142">
        <v>1.10793891327601E-4</v>
      </c>
      <c r="E142">
        <v>2110800</v>
      </c>
      <c r="F142">
        <v>885.97581954233704</v>
      </c>
      <c r="H142" t="s">
        <v>6</v>
      </c>
      <c r="I142">
        <v>132.20566700004582</v>
      </c>
      <c r="J142">
        <f>DTDRpat_result0[[#This Row],[gap of angle (rad)2]]*10000</f>
        <v>1.0120695255660515</v>
      </c>
      <c r="K142">
        <v>1.0120695255660515E-4</v>
      </c>
    </row>
    <row r="143" spans="1:11" x14ac:dyDescent="0.3">
      <c r="A143" t="s">
        <v>6</v>
      </c>
      <c r="B143">
        <v>132.205667000045</v>
      </c>
      <c r="C143" s="4">
        <f t="shared" si="2"/>
        <v>1.08635845486983</v>
      </c>
      <c r="D143">
        <v>1.08635845486983E-4</v>
      </c>
      <c r="E143">
        <v>2110800</v>
      </c>
      <c r="F143">
        <v>894.73243816818001</v>
      </c>
      <c r="H143" t="s">
        <v>6</v>
      </c>
      <c r="I143">
        <v>132.20566700004582</v>
      </c>
      <c r="J143">
        <f>DTDRpat_result0[[#This Row],[gap of angle (rad)2]]*10000</f>
        <v>1.0120695145962217</v>
      </c>
      <c r="K143">
        <v>1.0120695145962218E-4</v>
      </c>
    </row>
    <row r="144" spans="1:11" x14ac:dyDescent="0.3">
      <c r="A144" t="s">
        <v>6</v>
      </c>
      <c r="B144">
        <v>134.09083000004301</v>
      </c>
      <c r="C144" s="4">
        <f t="shared" si="2"/>
        <v>1.0973390545964701</v>
      </c>
      <c r="D144">
        <v>1.09733905459647E-4</v>
      </c>
      <c r="E144">
        <v>2140900</v>
      </c>
      <c r="F144">
        <v>890.244624959313</v>
      </c>
      <c r="H144" t="s">
        <v>6</v>
      </c>
      <c r="I144">
        <v>134.09083000004341</v>
      </c>
      <c r="J144">
        <f>DTDRpat_result0[[#This Row],[gap of angle (rad)2]]*10000</f>
        <v>0.98048581981955119</v>
      </c>
      <c r="K144">
        <v>9.8048581981955121E-5</v>
      </c>
    </row>
    <row r="145" spans="1:11" x14ac:dyDescent="0.3">
      <c r="A145" t="s">
        <v>6</v>
      </c>
      <c r="B145">
        <v>134.09083000004301</v>
      </c>
      <c r="C145" s="4">
        <f t="shared" si="2"/>
        <v>1.0760767680335199</v>
      </c>
      <c r="D145">
        <v>1.07607676803352E-4</v>
      </c>
      <c r="E145">
        <v>2140900</v>
      </c>
      <c r="F145">
        <v>898.99669546733503</v>
      </c>
      <c r="H145" t="s">
        <v>6</v>
      </c>
      <c r="I145">
        <v>134.09083000004341</v>
      </c>
      <c r="J145">
        <f>DTDRpat_result0[[#This Row],[gap of angle (rad)2]]*10000</f>
        <v>0.98048580849635814</v>
      </c>
      <c r="K145">
        <v>9.8048580849635812E-5</v>
      </c>
    </row>
    <row r="146" spans="1:11" x14ac:dyDescent="0.3">
      <c r="A146" t="s">
        <v>6</v>
      </c>
      <c r="B146">
        <v>135.96973000003999</v>
      </c>
      <c r="C146" s="4">
        <f t="shared" si="2"/>
        <v>1.0869068064301299</v>
      </c>
      <c r="D146">
        <v>1.08690680643013E-4</v>
      </c>
      <c r="E146">
        <v>2170900</v>
      </c>
      <c r="F146">
        <v>894.50671001496903</v>
      </c>
      <c r="H146" t="s">
        <v>6</v>
      </c>
      <c r="I146">
        <v>135.96973000004098</v>
      </c>
      <c r="J146">
        <f>DTDRpat_result0[[#This Row],[gap of angle (rad)2]]*10000</f>
        <v>0.95084907433111931</v>
      </c>
      <c r="K146">
        <v>9.5084907433111928E-5</v>
      </c>
    </row>
    <row r="147" spans="1:11" x14ac:dyDescent="0.3">
      <c r="A147" t="s">
        <v>6</v>
      </c>
      <c r="B147">
        <v>135.96973000003999</v>
      </c>
      <c r="C147" s="4">
        <f t="shared" si="2"/>
        <v>1.0660443087139899</v>
      </c>
      <c r="D147">
        <v>1.06604430871399E-4</v>
      </c>
      <c r="E147">
        <v>2170900</v>
      </c>
      <c r="F147">
        <v>903.21688123152501</v>
      </c>
      <c r="H147" t="s">
        <v>6</v>
      </c>
      <c r="I147">
        <v>135.96973000004098</v>
      </c>
      <c r="J147">
        <f>DTDRpat_result0[[#This Row],[gap of angle (rad)2]]*10000</f>
        <v>0.95084907433111931</v>
      </c>
      <c r="K147">
        <v>9.5084907433111928E-5</v>
      </c>
    </row>
    <row r="148" spans="1:11" x14ac:dyDescent="0.3">
      <c r="A148" t="s">
        <v>6</v>
      </c>
      <c r="B148">
        <v>137.86115600003799</v>
      </c>
      <c r="C148" s="4">
        <f t="shared" si="2"/>
        <v>1.0765809296653299</v>
      </c>
      <c r="D148">
        <v>1.07658092966533E-4</v>
      </c>
      <c r="E148">
        <v>2201100</v>
      </c>
      <c r="F148">
        <v>898.78618592989199</v>
      </c>
      <c r="H148" t="s">
        <v>6</v>
      </c>
      <c r="I148">
        <v>137.86115600003856</v>
      </c>
      <c r="J148">
        <f>DTDRpat_result0[[#This Row],[gap of angle (rad)2]]*10000</f>
        <v>0.92283168010744343</v>
      </c>
      <c r="K148">
        <v>9.2283168010744339E-5</v>
      </c>
    </row>
    <row r="149" spans="1:11" x14ac:dyDescent="0.3">
      <c r="A149" t="s">
        <v>6</v>
      </c>
      <c r="B149">
        <v>137.86115600003799</v>
      </c>
      <c r="C149" s="4">
        <f t="shared" si="2"/>
        <v>1.05619769062178</v>
      </c>
      <c r="D149">
        <v>1.05619769062178E-4</v>
      </c>
      <c r="E149">
        <v>2201100</v>
      </c>
      <c r="F149">
        <v>907.417208176592</v>
      </c>
      <c r="H149" t="s">
        <v>6</v>
      </c>
      <c r="I149">
        <v>137.86115600003856</v>
      </c>
      <c r="J149">
        <f>DTDRpat_result0[[#This Row],[gap of angle (rad)2]]*10000</f>
        <v>0.92283166807683092</v>
      </c>
      <c r="K149">
        <v>9.2283166807683088E-5</v>
      </c>
    </row>
    <row r="150" spans="1:11" x14ac:dyDescent="0.3">
      <c r="A150" t="s">
        <v>6</v>
      </c>
      <c r="B150">
        <v>139.752582000036</v>
      </c>
      <c r="C150" s="4">
        <f t="shared" si="2"/>
        <v>1.06647076670277</v>
      </c>
      <c r="D150">
        <v>1.06647076670277E-4</v>
      </c>
      <c r="E150">
        <v>2231300</v>
      </c>
      <c r="F150">
        <v>903.03628429602804</v>
      </c>
      <c r="H150" t="s">
        <v>6</v>
      </c>
      <c r="I150">
        <v>139.75258200003611</v>
      </c>
      <c r="J150">
        <f>DTDRpat_result0[[#This Row],[gap of angle (rad)2]]*10000</f>
        <v>0.8965871928882243</v>
      </c>
      <c r="K150">
        <v>8.9658719288822434E-5</v>
      </c>
    </row>
    <row r="151" spans="1:11" x14ac:dyDescent="0.3">
      <c r="A151" t="s">
        <v>6</v>
      </c>
      <c r="B151">
        <v>139.752582000036</v>
      </c>
      <c r="C151" s="4">
        <f t="shared" si="2"/>
        <v>1.04663744045673</v>
      </c>
      <c r="D151">
        <v>1.04663744045673E-4</v>
      </c>
      <c r="E151">
        <v>2231300</v>
      </c>
      <c r="F151">
        <v>911.55190931060997</v>
      </c>
      <c r="H151" t="s">
        <v>6</v>
      </c>
      <c r="I151">
        <v>139.75258200003611</v>
      </c>
      <c r="J151">
        <f>DTDRpat_result0[[#This Row],[gap of angle (rad)2]]*10000</f>
        <v>0.8965871928882243</v>
      </c>
      <c r="K151">
        <v>8.9658719288822434E-5</v>
      </c>
    </row>
    <row r="152" spans="1:11" x14ac:dyDescent="0.3">
      <c r="A152" t="s">
        <v>6</v>
      </c>
      <c r="B152">
        <v>141.64400800003301</v>
      </c>
      <c r="C152" s="4">
        <f t="shared" si="2"/>
        <v>1.0566126139608201</v>
      </c>
      <c r="D152">
        <v>1.05661261396082E-4</v>
      </c>
      <c r="E152">
        <v>2261500</v>
      </c>
      <c r="F152">
        <v>907.23902760318197</v>
      </c>
      <c r="H152" t="s">
        <v>6</v>
      </c>
      <c r="I152">
        <v>141.64400800003369</v>
      </c>
      <c r="J152">
        <f>DTDRpat_result0[[#This Row],[gap of angle (rad)2]]*10000</f>
        <v>0.87205918906220936</v>
      </c>
      <c r="K152">
        <v>8.7205918906220934E-5</v>
      </c>
    </row>
    <row r="153" spans="1:11" x14ac:dyDescent="0.3">
      <c r="A153" t="s">
        <v>6</v>
      </c>
      <c r="B153">
        <v>141.64400800003301</v>
      </c>
      <c r="C153" s="4">
        <f t="shared" si="2"/>
        <v>1.0373935969700299</v>
      </c>
      <c r="D153">
        <v>1.0373935969700299E-4</v>
      </c>
      <c r="E153">
        <v>2261500</v>
      </c>
      <c r="F153">
        <v>915.60397738108998</v>
      </c>
      <c r="H153" t="s">
        <v>6</v>
      </c>
      <c r="I153">
        <v>141.64400800003369</v>
      </c>
      <c r="J153">
        <f>DTDRpat_result0[[#This Row],[gap of angle (rad)2]]*10000</f>
        <v>0.87205921452431157</v>
      </c>
      <c r="K153">
        <v>8.7205921452431152E-5</v>
      </c>
    </row>
    <row r="154" spans="1:11" x14ac:dyDescent="0.3">
      <c r="A154" t="s">
        <v>6</v>
      </c>
      <c r="B154">
        <v>143.529171000031</v>
      </c>
      <c r="C154" s="4">
        <f t="shared" si="2"/>
        <v>1.0470707105045201</v>
      </c>
      <c r="D154">
        <v>1.0470707105045201E-4</v>
      </c>
      <c r="E154">
        <v>2291600</v>
      </c>
      <c r="F154">
        <v>911.36330755057099</v>
      </c>
      <c r="H154" t="s">
        <v>6</v>
      </c>
      <c r="I154">
        <v>143.52917100003125</v>
      </c>
      <c r="J154">
        <f>DTDRpat_result0[[#This Row],[gap of angle (rad)2]]*10000</f>
        <v>0.84926040961569293</v>
      </c>
      <c r="K154">
        <v>8.4926040961569294E-5</v>
      </c>
    </row>
    <row r="155" spans="1:11" x14ac:dyDescent="0.3">
      <c r="A155" t="s">
        <v>6</v>
      </c>
      <c r="B155">
        <v>143.529171000031</v>
      </c>
      <c r="C155" s="4">
        <f t="shared" si="2"/>
        <v>1.02852211239022</v>
      </c>
      <c r="D155">
        <v>1.02852211239022E-4</v>
      </c>
      <c r="E155">
        <v>2291600</v>
      </c>
      <c r="F155">
        <v>919.54405462309296</v>
      </c>
      <c r="H155" t="s">
        <v>6</v>
      </c>
      <c r="I155">
        <v>143.52917100003125</v>
      </c>
      <c r="J155">
        <f>DTDRpat_result0[[#This Row],[gap of angle (rad)2]]*10000</f>
        <v>0.8492604357613367</v>
      </c>
      <c r="K155">
        <v>8.4926043576133675E-5</v>
      </c>
    </row>
    <row r="156" spans="1:11" x14ac:dyDescent="0.3">
      <c r="A156" t="s">
        <v>6</v>
      </c>
      <c r="B156">
        <v>145.42059700002801</v>
      </c>
      <c r="C156" s="4">
        <f t="shared" si="2"/>
        <v>1.0378116843268199</v>
      </c>
      <c r="D156">
        <v>1.03781168432682E-4</v>
      </c>
      <c r="E156">
        <v>2321800</v>
      </c>
      <c r="F156">
        <v>915.419544121238</v>
      </c>
      <c r="H156" t="s">
        <v>6</v>
      </c>
      <c r="I156">
        <v>145.42059700002883</v>
      </c>
      <c r="J156">
        <f>DTDRpat_result0[[#This Row],[gap of angle (rad)2]]*10000</f>
        <v>0.82797714556028135</v>
      </c>
      <c r="K156">
        <v>8.2797714556028131E-5</v>
      </c>
    </row>
    <row r="157" spans="1:11" x14ac:dyDescent="0.3">
      <c r="A157" t="s">
        <v>6</v>
      </c>
      <c r="B157">
        <v>145.42059700002801</v>
      </c>
      <c r="C157" s="4">
        <f t="shared" si="2"/>
        <v>1.01998834822399</v>
      </c>
      <c r="D157">
        <v>1.01998834822399E-4</v>
      </c>
      <c r="E157">
        <v>2321800</v>
      </c>
      <c r="F157">
        <v>923.38251962175696</v>
      </c>
      <c r="H157" t="s">
        <v>6</v>
      </c>
      <c r="I157">
        <v>145.42059700002883</v>
      </c>
      <c r="J157">
        <f>DTDRpat_result0[[#This Row],[gap of angle (rad)2]]*10000</f>
        <v>0.82797711874255941</v>
      </c>
      <c r="K157">
        <v>8.2797711874255941E-5</v>
      </c>
    </row>
    <row r="158" spans="1:11" x14ac:dyDescent="0.3">
      <c r="A158" t="s">
        <v>6</v>
      </c>
      <c r="B158">
        <v>147.305760000026</v>
      </c>
      <c r="C158" s="4">
        <f t="shared" si="2"/>
        <v>1.0289239076536401</v>
      </c>
      <c r="D158">
        <v>1.02892390765364E-4</v>
      </c>
      <c r="E158">
        <v>2351900</v>
      </c>
      <c r="F158">
        <v>919.36451649491903</v>
      </c>
      <c r="H158" t="s">
        <v>6</v>
      </c>
      <c r="I158">
        <v>147.30576000002642</v>
      </c>
      <c r="J158">
        <f>DTDRpat_result0[[#This Row],[gap of angle (rad)2]]*10000</f>
        <v>0.80828797934682173</v>
      </c>
      <c r="K158">
        <v>8.0828797934682175E-5</v>
      </c>
    </row>
    <row r="159" spans="1:11" x14ac:dyDescent="0.3">
      <c r="A159" t="s">
        <v>6</v>
      </c>
      <c r="B159">
        <v>147.305760000026</v>
      </c>
      <c r="C159" s="4">
        <f t="shared" si="2"/>
        <v>1.0118704474579199</v>
      </c>
      <c r="D159">
        <v>1.01187044745792E-4</v>
      </c>
      <c r="E159">
        <v>2351900</v>
      </c>
      <c r="F159">
        <v>927.07886331689895</v>
      </c>
      <c r="H159" t="s">
        <v>6</v>
      </c>
      <c r="I159">
        <v>147.30576000002642</v>
      </c>
      <c r="J159">
        <f>DTDRpat_result0[[#This Row],[gap of angle (rad)2]]*10000</f>
        <v>0.80828795187584423</v>
      </c>
      <c r="K159">
        <v>8.0828795187584419E-5</v>
      </c>
    </row>
    <row r="160" spans="1:11" x14ac:dyDescent="0.3">
      <c r="A160" t="s">
        <v>6</v>
      </c>
      <c r="B160">
        <v>149.184660000024</v>
      </c>
      <c r="C160" s="4">
        <f t="shared" si="2"/>
        <v>1.0204280700516701</v>
      </c>
      <c r="D160">
        <v>1.0204280700516701E-4</v>
      </c>
      <c r="E160">
        <v>2381900</v>
      </c>
      <c r="F160">
        <v>923.18355862515398</v>
      </c>
      <c r="H160" t="s">
        <v>6</v>
      </c>
      <c r="I160">
        <v>149.184660000024</v>
      </c>
      <c r="J160">
        <f>DTDRpat_result0[[#This Row],[gap of angle (rad)2]]*10000</f>
        <v>0.79011667357860083</v>
      </c>
      <c r="K160">
        <v>7.9011667357860088E-5</v>
      </c>
    </row>
    <row r="161" spans="1:11" x14ac:dyDescent="0.3">
      <c r="A161" t="s">
        <v>6</v>
      </c>
      <c r="B161">
        <v>149.184660000024</v>
      </c>
      <c r="C161" s="4">
        <f t="shared" si="2"/>
        <v>1.0041837363589499</v>
      </c>
      <c r="D161">
        <v>1.00418373635895E-4</v>
      </c>
      <c r="E161">
        <v>2381900</v>
      </c>
      <c r="F161">
        <v>930.62007606963402</v>
      </c>
      <c r="H161" t="s">
        <v>6</v>
      </c>
      <c r="I161">
        <v>149.184660000024</v>
      </c>
      <c r="J161">
        <f>DTDRpat_result0[[#This Row],[gap of angle (rad)2]]*10000</f>
        <v>0.79011670168136205</v>
      </c>
      <c r="K161">
        <v>7.9011670168136202E-5</v>
      </c>
    </row>
    <row r="162" spans="1:11" x14ac:dyDescent="0.3">
      <c r="A162" t="s">
        <v>6</v>
      </c>
      <c r="B162">
        <v>151.07608600002101</v>
      </c>
      <c r="C162" s="4">
        <f t="shared" si="2"/>
        <v>1.01226285034883</v>
      </c>
      <c r="D162">
        <v>1.0122628503488299E-4</v>
      </c>
      <c r="E162">
        <v>2412100</v>
      </c>
      <c r="F162">
        <v>926.89916661931102</v>
      </c>
      <c r="H162" t="s">
        <v>6</v>
      </c>
      <c r="I162">
        <v>151.07608600002158</v>
      </c>
      <c r="J162">
        <f>DTDRpat_result0[[#This Row],[gap of angle (rad)2]]*10000</f>
        <v>0.77322886446291539</v>
      </c>
      <c r="K162">
        <v>7.7322886446291536E-5</v>
      </c>
    </row>
    <row r="163" spans="1:11" x14ac:dyDescent="0.3">
      <c r="A163" t="s">
        <v>6</v>
      </c>
      <c r="B163">
        <v>151.07608600002101</v>
      </c>
      <c r="C163" s="4">
        <f t="shared" si="2"/>
        <v>0.99687048877197104</v>
      </c>
      <c r="D163" s="1">
        <v>9.9687048877197099E-5</v>
      </c>
      <c r="E163">
        <v>2412100</v>
      </c>
      <c r="F163">
        <v>934.02715347490903</v>
      </c>
      <c r="H163" t="s">
        <v>6</v>
      </c>
      <c r="I163">
        <v>151.07608600002158</v>
      </c>
      <c r="J163">
        <f>DTDRpat_result0[[#This Row],[gap of angle (rad)2]]*10000</f>
        <v>0.77322886446291539</v>
      </c>
      <c r="K163">
        <v>7.7322886446291536E-5</v>
      </c>
    </row>
    <row r="164" spans="1:11" x14ac:dyDescent="0.3">
      <c r="A164" t="s">
        <v>6</v>
      </c>
      <c r="B164">
        <v>152.95498600001901</v>
      </c>
      <c r="C164" s="4">
        <f t="shared" si="2"/>
        <v>1.00455567892264</v>
      </c>
      <c r="D164">
        <v>1.00455567892264E-4</v>
      </c>
      <c r="E164">
        <v>2442100</v>
      </c>
      <c r="F164">
        <v>930.44778762229805</v>
      </c>
      <c r="H164" t="s">
        <v>6</v>
      </c>
      <c r="I164">
        <v>152.95498600001915</v>
      </c>
      <c r="J164">
        <f>DTDRpat_result0[[#This Row],[gap of angle (rad)2]]*10000</f>
        <v>0.75779116507556388</v>
      </c>
      <c r="K164">
        <v>7.577911650755639E-5</v>
      </c>
    </row>
    <row r="165" spans="1:11" x14ac:dyDescent="0.3">
      <c r="A165" t="s">
        <v>6</v>
      </c>
      <c r="B165">
        <v>152.95498600001901</v>
      </c>
      <c r="C165" s="4">
        <f t="shared" si="2"/>
        <v>0.99004255862360901</v>
      </c>
      <c r="D165" s="1">
        <v>9.9004255862360896E-5</v>
      </c>
      <c r="E165">
        <v>2442100</v>
      </c>
      <c r="F165">
        <v>937.24211262990605</v>
      </c>
      <c r="H165" t="s">
        <v>6</v>
      </c>
      <c r="I165">
        <v>152.95498600001915</v>
      </c>
      <c r="J165">
        <f>DTDRpat_result0[[#This Row],[gap of angle (rad)2]]*10000</f>
        <v>0.75779116507556388</v>
      </c>
      <c r="K165">
        <v>7.577911650755639E-5</v>
      </c>
    </row>
    <row r="166" spans="1:11" x14ac:dyDescent="0.3">
      <c r="A166" t="s">
        <v>6</v>
      </c>
      <c r="B166">
        <v>154.84641200001599</v>
      </c>
      <c r="C166" s="4">
        <f t="shared" si="2"/>
        <v>0.99722103367628101</v>
      </c>
      <c r="D166" s="1">
        <v>9.9722103367628101E-5</v>
      </c>
      <c r="E166">
        <v>2472300</v>
      </c>
      <c r="F166">
        <v>933.86298354144799</v>
      </c>
      <c r="H166" t="s">
        <v>6</v>
      </c>
      <c r="I166">
        <v>154.8464120000167</v>
      </c>
      <c r="J166">
        <f>DTDRpat_result0[[#This Row],[gap of angle (rad)2]]*10000</f>
        <v>0.74354302344889467</v>
      </c>
      <c r="K166">
        <v>7.4354302344889467E-5</v>
      </c>
    </row>
    <row r="167" spans="1:11" x14ac:dyDescent="0.3">
      <c r="A167" t="s">
        <v>6</v>
      </c>
      <c r="B167">
        <v>154.84641200001599</v>
      </c>
      <c r="C167" s="4">
        <f t="shared" si="2"/>
        <v>0.98362218567247295</v>
      </c>
      <c r="D167" s="1">
        <v>9.83622185672473E-5</v>
      </c>
      <c r="E167">
        <v>2472300</v>
      </c>
      <c r="F167">
        <v>940.29562299880797</v>
      </c>
      <c r="H167" t="s">
        <v>6</v>
      </c>
      <c r="I167">
        <v>154.8464120000167</v>
      </c>
      <c r="J167">
        <f>DTDRpat_result0[[#This Row],[gap of angle (rad)2]]*10000</f>
        <v>0.74354302344889467</v>
      </c>
      <c r="K167">
        <v>7.4354302344889467E-5</v>
      </c>
    </row>
    <row r="168" spans="1:11" x14ac:dyDescent="0.3">
      <c r="A168" t="s">
        <v>6</v>
      </c>
      <c r="B168">
        <v>156.72531200001399</v>
      </c>
      <c r="C168" s="4">
        <f t="shared" si="2"/>
        <v>0.99037116083575494</v>
      </c>
      <c r="D168" s="1">
        <v>9.9037116083575499E-5</v>
      </c>
      <c r="E168">
        <v>2502300</v>
      </c>
      <c r="F168">
        <v>937.08662665951704</v>
      </c>
      <c r="H168" t="s">
        <v>6</v>
      </c>
      <c r="I168">
        <v>156.7253120000143</v>
      </c>
      <c r="J168">
        <f>DTDRpat_result0[[#This Row],[gap of angle (rad)2]]*10000</f>
        <v>0.73062212283799166</v>
      </c>
      <c r="K168">
        <v>7.3062212283799168E-5</v>
      </c>
    </row>
    <row r="169" spans="1:11" x14ac:dyDescent="0.3">
      <c r="A169" t="s">
        <v>6</v>
      </c>
      <c r="B169">
        <v>156.72531200001399</v>
      </c>
      <c r="C169" s="4">
        <f t="shared" si="2"/>
        <v>0.97770590758831899</v>
      </c>
      <c r="D169" s="1">
        <v>9.7770590758831902E-5</v>
      </c>
      <c r="E169">
        <v>2502300</v>
      </c>
      <c r="F169">
        <v>943.13594265240397</v>
      </c>
      <c r="H169" t="s">
        <v>6</v>
      </c>
      <c r="I169">
        <v>156.7253120000143</v>
      </c>
      <c r="J169">
        <f>DTDRpat_result0[[#This Row],[gap of angle (rad)2]]*10000</f>
        <v>0.73062212283799166</v>
      </c>
      <c r="K169">
        <v>7.3062212283799168E-5</v>
      </c>
    </row>
    <row r="170" spans="1:11" x14ac:dyDescent="0.3">
      <c r="A170" t="s">
        <v>6</v>
      </c>
      <c r="B170">
        <v>158.60421200001099</v>
      </c>
      <c r="C170" s="4">
        <f t="shared" si="2"/>
        <v>0.98396921370172907</v>
      </c>
      <c r="D170" s="1">
        <v>9.8396921370172904E-5</v>
      </c>
      <c r="E170">
        <v>2532300</v>
      </c>
      <c r="F170">
        <v>940.12980677412395</v>
      </c>
      <c r="H170" t="s">
        <v>6</v>
      </c>
      <c r="I170">
        <v>158.60421200001187</v>
      </c>
      <c r="J170">
        <f>DTDRpat_result0[[#This Row],[gap of angle (rad)2]]*10000</f>
        <v>0.71888262703558514</v>
      </c>
      <c r="K170">
        <v>7.1888262703558519E-5</v>
      </c>
    </row>
    <row r="171" spans="1:11" x14ac:dyDescent="0.3">
      <c r="A171" t="s">
        <v>6</v>
      </c>
      <c r="B171">
        <v>158.60421200001099</v>
      </c>
      <c r="C171" s="4">
        <f t="shared" si="2"/>
        <v>0.97225956940896907</v>
      </c>
      <c r="D171" s="1">
        <v>9.7225956940896903E-5</v>
      </c>
      <c r="E171">
        <v>2532300</v>
      </c>
      <c r="F171">
        <v>945.77348222235105</v>
      </c>
      <c r="H171" t="s">
        <v>6</v>
      </c>
      <c r="I171">
        <v>158.60421200001187</v>
      </c>
      <c r="J171">
        <f>DTDRpat_result0[[#This Row],[gap of angle (rad)2]]*10000</f>
        <v>0.71888262703558514</v>
      </c>
      <c r="K171">
        <v>7.1888262703558519E-5</v>
      </c>
    </row>
    <row r="172" spans="1:11" x14ac:dyDescent="0.3">
      <c r="A172" t="s">
        <v>6</v>
      </c>
      <c r="B172">
        <v>160.48311200000899</v>
      </c>
      <c r="C172" s="4">
        <f t="shared" si="2"/>
        <v>0.97802673551324504</v>
      </c>
      <c r="D172" s="1">
        <v>9.7802673551324507E-5</v>
      </c>
      <c r="E172">
        <v>2562300</v>
      </c>
      <c r="F172">
        <v>942.98124619021405</v>
      </c>
      <c r="H172" t="s">
        <v>6</v>
      </c>
      <c r="I172">
        <v>160.48311200000947</v>
      </c>
      <c r="J172">
        <f>DTDRpat_result0[[#This Row],[gap of angle (rad)2]]*10000</f>
        <v>0.70828089301008601</v>
      </c>
      <c r="K172">
        <v>7.0828089301008598E-5</v>
      </c>
    </row>
    <row r="173" spans="1:11" x14ac:dyDescent="0.3">
      <c r="A173" t="s">
        <v>6</v>
      </c>
      <c r="B173">
        <v>160.48311200000899</v>
      </c>
      <c r="C173" s="4">
        <f t="shared" si="2"/>
        <v>0.96729178634621704</v>
      </c>
      <c r="D173" s="1">
        <v>9.6729178634621704E-5</v>
      </c>
      <c r="E173">
        <v>2562300</v>
      </c>
      <c r="F173">
        <v>948.198637351005</v>
      </c>
      <c r="H173" t="s">
        <v>6</v>
      </c>
      <c r="I173">
        <v>160.48311200000947</v>
      </c>
      <c r="J173">
        <f>DTDRpat_result0[[#This Row],[gap of angle (rad)2]]*10000</f>
        <v>0.70828089301008601</v>
      </c>
      <c r="K173">
        <v>7.0828089301008598E-5</v>
      </c>
    </row>
    <row r="174" spans="1:11" x14ac:dyDescent="0.3">
      <c r="A174" t="s">
        <v>6</v>
      </c>
      <c r="B174">
        <v>162.37453800000699</v>
      </c>
      <c r="C174" s="4">
        <f t="shared" si="2"/>
        <v>0.97251884886691597</v>
      </c>
      <c r="D174" s="1">
        <v>9.7251884886691598E-5</v>
      </c>
      <c r="E174">
        <v>2592500</v>
      </c>
      <c r="F174">
        <v>945.64743201893896</v>
      </c>
      <c r="H174" t="s">
        <v>6</v>
      </c>
      <c r="I174">
        <v>162.37453800000702</v>
      </c>
      <c r="J174">
        <f>DTDRpat_result0[[#This Row],[gap of angle (rad)2]]*10000</f>
        <v>0.69871727581029963</v>
      </c>
      <c r="K174">
        <v>6.9871727581029966E-5</v>
      </c>
    </row>
    <row r="175" spans="1:11" x14ac:dyDescent="0.3">
      <c r="A175" t="s">
        <v>6</v>
      </c>
      <c r="B175">
        <v>162.37453800000699</v>
      </c>
      <c r="C175" s="4">
        <f t="shared" si="2"/>
        <v>0.96278163373122505</v>
      </c>
      <c r="D175" s="1">
        <v>9.62781633731225E-5</v>
      </c>
      <c r="E175">
        <v>2592500</v>
      </c>
      <c r="F175">
        <v>950.41657634001001</v>
      </c>
      <c r="H175" t="s">
        <v>6</v>
      </c>
      <c r="I175">
        <v>162.37453800000702</v>
      </c>
      <c r="J175">
        <f>DTDRpat_result0[[#This Row],[gap of angle (rad)2]]*10000</f>
        <v>0.69871725992085376</v>
      </c>
      <c r="K175">
        <v>6.9871725992085373E-5</v>
      </c>
    </row>
    <row r="176" spans="1:11" x14ac:dyDescent="0.3">
      <c r="A176" t="s">
        <v>6</v>
      </c>
      <c r="B176">
        <v>164.265964000004</v>
      </c>
      <c r="C176" s="4">
        <f t="shared" si="2"/>
        <v>0.96749545864248498</v>
      </c>
      <c r="D176" s="1">
        <v>9.6749545864248501E-5</v>
      </c>
      <c r="E176">
        <v>2622700</v>
      </c>
      <c r="F176">
        <v>948.09885652493404</v>
      </c>
      <c r="H176" t="s">
        <v>6</v>
      </c>
      <c r="I176">
        <v>164.2659640000046</v>
      </c>
      <c r="J176">
        <f>DTDRpat_result0[[#This Row],[gap of angle (rad)2]]*10000</f>
        <v>0.69022925004429936</v>
      </c>
      <c r="K176">
        <v>6.9022925004429936E-5</v>
      </c>
    </row>
    <row r="177" spans="1:11" x14ac:dyDescent="0.3">
      <c r="A177" t="s">
        <v>6</v>
      </c>
      <c r="B177">
        <v>164.265964000004</v>
      </c>
      <c r="C177" s="4">
        <f t="shared" si="2"/>
        <v>0.95877021699941101</v>
      </c>
      <c r="D177" s="1">
        <v>9.5877021699941096E-5</v>
      </c>
      <c r="E177">
        <v>2622700</v>
      </c>
      <c r="F177">
        <v>952.40234110703705</v>
      </c>
      <c r="H177" t="s">
        <v>6</v>
      </c>
      <c r="I177">
        <v>164.2659640000046</v>
      </c>
      <c r="J177">
        <f>DTDRpat_result0[[#This Row],[gap of angle (rad)2]]*10000</f>
        <v>0.6902292661291437</v>
      </c>
      <c r="K177">
        <v>6.9022926612914373E-5</v>
      </c>
    </row>
    <row r="178" spans="1:11" x14ac:dyDescent="0.3">
      <c r="A178" t="s">
        <v>6</v>
      </c>
      <c r="B178">
        <v>166.144864000002</v>
      </c>
      <c r="C178" s="4">
        <f t="shared" si="2"/>
        <v>0.96299249707579804</v>
      </c>
      <c r="D178" s="1">
        <v>9.6299249707579803E-5</v>
      </c>
      <c r="E178">
        <v>2652700</v>
      </c>
      <c r="F178">
        <v>950.312539800835</v>
      </c>
      <c r="H178" t="s">
        <v>6</v>
      </c>
      <c r="I178">
        <v>166.14486400000217</v>
      </c>
      <c r="J178">
        <f>DTDRpat_result0[[#This Row],[gap of angle (rad)2]]*10000</f>
        <v>0.68282982277449289</v>
      </c>
      <c r="K178">
        <v>6.8282982277449288E-5</v>
      </c>
    </row>
    <row r="179" spans="1:11" x14ac:dyDescent="0.3">
      <c r="A179" t="s">
        <v>6</v>
      </c>
      <c r="B179">
        <v>166.144864000002</v>
      </c>
      <c r="C179" s="4">
        <f t="shared" si="2"/>
        <v>0.95528443665255303</v>
      </c>
      <c r="D179" s="1">
        <v>9.5528443665255302E-5</v>
      </c>
      <c r="E179">
        <v>2652700</v>
      </c>
      <c r="F179">
        <v>954.137989069485</v>
      </c>
      <c r="H179" t="s">
        <v>6</v>
      </c>
      <c r="I179">
        <v>166.14486400000217</v>
      </c>
      <c r="J179">
        <f>DTDRpat_result0[[#This Row],[gap of angle (rad)2]]*10000</f>
        <v>0.68282979025619872</v>
      </c>
      <c r="K179">
        <v>6.8282979025619873E-5</v>
      </c>
    </row>
    <row r="180" spans="1:11" x14ac:dyDescent="0.3">
      <c r="A180" t="s">
        <v>6</v>
      </c>
      <c r="B180">
        <v>168.03628999999901</v>
      </c>
      <c r="C180" s="4">
        <f t="shared" si="2"/>
        <v>0.95895633034231609</v>
      </c>
      <c r="D180" s="1">
        <v>9.5895633034231604E-5</v>
      </c>
      <c r="E180">
        <v>2682900</v>
      </c>
      <c r="F180">
        <v>952.30993416888396</v>
      </c>
      <c r="H180" t="s">
        <v>6</v>
      </c>
      <c r="I180">
        <v>168.03628999999975</v>
      </c>
      <c r="J180">
        <f>DTDRpat_result0[[#This Row],[gap of angle (rad)2]]*10000</f>
        <v>0.67639128266005855</v>
      </c>
      <c r="K180">
        <v>6.7639128266005856E-5</v>
      </c>
    </row>
    <row r="181" spans="1:11" x14ac:dyDescent="0.3">
      <c r="A181" t="s">
        <v>6</v>
      </c>
      <c r="B181">
        <v>168.03628999999901</v>
      </c>
      <c r="C181" s="4">
        <f t="shared" si="2"/>
        <v>0.952282230783006</v>
      </c>
      <c r="D181" s="1">
        <v>9.52282230783006E-5</v>
      </c>
      <c r="E181">
        <v>2682900</v>
      </c>
      <c r="F181">
        <v>955.64041500916801</v>
      </c>
      <c r="H181" t="s">
        <v>6</v>
      </c>
      <c r="I181">
        <v>168.03628999999975</v>
      </c>
      <c r="J181">
        <f>DTDRpat_result0[[#This Row],[gap of angle (rad)2]]*10000</f>
        <v>0.67639129907397522</v>
      </c>
      <c r="K181">
        <v>6.7639129907397523E-5</v>
      </c>
    </row>
    <row r="182" spans="1:11" x14ac:dyDescent="0.3">
      <c r="A182" t="s">
        <v>6</v>
      </c>
      <c r="B182">
        <v>169.92771599999699</v>
      </c>
      <c r="C182" s="4">
        <f t="shared" si="2"/>
        <v>0.95542399398227695</v>
      </c>
      <c r="D182" s="1">
        <v>9.5542399398227694E-5</v>
      </c>
      <c r="E182">
        <v>2713100</v>
      </c>
      <c r="F182">
        <v>954.06830896562803</v>
      </c>
      <c r="H182" t="s">
        <v>6</v>
      </c>
      <c r="I182">
        <v>169.9277159999973</v>
      </c>
      <c r="J182">
        <f>DTDRpat_result0[[#This Row],[gap of angle (rad)2]]*10000</f>
        <v>0.67094109452913209</v>
      </c>
      <c r="K182">
        <v>6.7094109452913209E-5</v>
      </c>
    </row>
    <row r="183" spans="1:11" x14ac:dyDescent="0.3">
      <c r="A183" t="s">
        <v>6</v>
      </c>
      <c r="B183">
        <v>169.92771599999699</v>
      </c>
      <c r="C183" s="4">
        <f t="shared" si="2"/>
        <v>0.94979215979972498</v>
      </c>
      <c r="D183" s="1">
        <v>9.49792159799725E-5</v>
      </c>
      <c r="E183">
        <v>2713100</v>
      </c>
      <c r="F183">
        <v>956.89187179143096</v>
      </c>
      <c r="H183" t="s">
        <v>6</v>
      </c>
      <c r="I183">
        <v>169.9277159999973</v>
      </c>
      <c r="J183">
        <f>DTDRpat_result0[[#This Row],[gap of angle (rad)2]]*10000</f>
        <v>0.67094112762363201</v>
      </c>
      <c r="K183">
        <v>6.70941127623632E-5</v>
      </c>
    </row>
    <row r="184" spans="1:11" x14ac:dyDescent="0.3">
      <c r="A184" t="s">
        <v>6</v>
      </c>
      <c r="B184">
        <v>171.80661599999399</v>
      </c>
      <c r="C184" s="4">
        <f t="shared" si="2"/>
        <v>0.95241834628810096</v>
      </c>
      <c r="D184" s="1">
        <v>9.5241834628810094E-5</v>
      </c>
      <c r="E184">
        <v>2743100</v>
      </c>
      <c r="F184">
        <v>955.57214004611001</v>
      </c>
      <c r="H184" t="s">
        <v>6</v>
      </c>
      <c r="I184">
        <v>171.8066159999949</v>
      </c>
      <c r="J184">
        <f>DTDRpat_result0[[#This Row],[gap of angle (rad)2]]*10000</f>
        <v>0.66648426532559435</v>
      </c>
      <c r="K184">
        <v>6.6648426532559438E-5</v>
      </c>
    </row>
    <row r="185" spans="1:11" x14ac:dyDescent="0.3">
      <c r="A185" t="s">
        <v>6</v>
      </c>
      <c r="B185">
        <v>171.80661599999399</v>
      </c>
      <c r="C185" s="4">
        <f t="shared" si="2"/>
        <v>0.94782850931454099</v>
      </c>
      <c r="D185" s="1">
        <v>9.4782850931454099E-5</v>
      </c>
      <c r="E185">
        <v>2743100</v>
      </c>
      <c r="F185">
        <v>957.88215133943299</v>
      </c>
      <c r="H185" t="s">
        <v>6</v>
      </c>
      <c r="I185">
        <v>171.8066159999949</v>
      </c>
      <c r="J185">
        <f>DTDRpat_result0[[#This Row],[gap of angle (rad)2]]*10000</f>
        <v>0.66648426532559435</v>
      </c>
      <c r="K185">
        <v>6.6648426532559438E-5</v>
      </c>
    </row>
    <row r="186" spans="1:11" x14ac:dyDescent="0.3">
      <c r="A186" t="s">
        <v>6</v>
      </c>
      <c r="B186">
        <v>173.698041999992</v>
      </c>
      <c r="C186" s="4">
        <f t="shared" si="2"/>
        <v>0.94990291940017202</v>
      </c>
      <c r="D186" s="1">
        <v>9.4990291940017202E-5</v>
      </c>
      <c r="E186">
        <v>2773300</v>
      </c>
      <c r="F186">
        <v>956.83609010746397</v>
      </c>
      <c r="H186" t="s">
        <v>6</v>
      </c>
      <c r="I186">
        <v>173.69804199999245</v>
      </c>
      <c r="J186">
        <f>DTDRpat_result0[[#This Row],[gap of angle (rad)2]]*10000</f>
        <v>0.66294366862845044</v>
      </c>
      <c r="K186">
        <v>6.6294366862845047E-5</v>
      </c>
    </row>
    <row r="187" spans="1:11" x14ac:dyDescent="0.3">
      <c r="A187" t="s">
        <v>6</v>
      </c>
      <c r="B187">
        <v>173.698041999992</v>
      </c>
      <c r="C187" s="4">
        <f t="shared" si="2"/>
        <v>0.946367292680794</v>
      </c>
      <c r="D187" s="1">
        <v>9.4636729268079403E-5</v>
      </c>
      <c r="E187">
        <v>2773300</v>
      </c>
      <c r="F187">
        <v>958.62093544785898</v>
      </c>
      <c r="H187" t="s">
        <v>6</v>
      </c>
      <c r="I187">
        <v>173.69804199999245</v>
      </c>
      <c r="J187">
        <f>DTDRpat_result0[[#This Row],[gap of angle (rad)2]]*10000</f>
        <v>0.66294363513471322</v>
      </c>
      <c r="K187">
        <v>6.6294363513471317E-5</v>
      </c>
    </row>
    <row r="188" spans="1:11" x14ac:dyDescent="0.3">
      <c r="A188" t="s">
        <v>6</v>
      </c>
      <c r="B188">
        <v>175.58946799999001</v>
      </c>
      <c r="C188" s="4">
        <f t="shared" si="2"/>
        <v>0.94790242927202295</v>
      </c>
      <c r="D188" s="1">
        <v>9.4790242927202299E-5</v>
      </c>
      <c r="E188">
        <v>2803500</v>
      </c>
      <c r="F188">
        <v>957.84480917436804</v>
      </c>
      <c r="H188" t="s">
        <v>6</v>
      </c>
      <c r="I188">
        <v>175.58946799999003</v>
      </c>
      <c r="J188">
        <f>DTDRpat_result0[[#This Row],[gap of angle (rad)2]]*10000</f>
        <v>0.66033819545254246</v>
      </c>
      <c r="K188">
        <v>6.6033819545254248E-5</v>
      </c>
    </row>
    <row r="189" spans="1:11" x14ac:dyDescent="0.3">
      <c r="A189" t="s">
        <v>6</v>
      </c>
      <c r="B189">
        <v>175.58946799999001</v>
      </c>
      <c r="C189" s="4">
        <f t="shared" si="2"/>
        <v>0.94542489617944503</v>
      </c>
      <c r="D189" s="1">
        <v>9.4542489617944499E-5</v>
      </c>
      <c r="E189">
        <v>2803500</v>
      </c>
      <c r="F189">
        <v>959.09815409865098</v>
      </c>
      <c r="H189" t="s">
        <v>6</v>
      </c>
      <c r="I189">
        <v>175.58946799999003</v>
      </c>
      <c r="J189">
        <f>DTDRpat_result0[[#This Row],[gap of angle (rad)2]]*10000</f>
        <v>0.66033819545254246</v>
      </c>
      <c r="K189">
        <v>6.6033819545254248E-5</v>
      </c>
    </row>
    <row r="190" spans="1:11" x14ac:dyDescent="0.3">
      <c r="A190" t="s">
        <v>6</v>
      </c>
      <c r="B190">
        <v>177.48089399998699</v>
      </c>
      <c r="C190" s="4">
        <f t="shared" si="2"/>
        <v>0.94641910893542203</v>
      </c>
      <c r="D190" s="1">
        <v>9.4641910893542198E-5</v>
      </c>
      <c r="E190">
        <v>2833700</v>
      </c>
      <c r="F190">
        <v>958.59471325947902</v>
      </c>
      <c r="H190" t="s">
        <v>6</v>
      </c>
      <c r="I190">
        <v>177.48089399998759</v>
      </c>
      <c r="J190">
        <f>DTDRpat_result0[[#This Row],[gap of angle (rad)2]]*10000</f>
        <v>0.65865741825885527</v>
      </c>
      <c r="K190">
        <v>6.586574182588553E-5</v>
      </c>
    </row>
    <row r="191" spans="1:11" x14ac:dyDescent="0.3">
      <c r="A191" t="s">
        <v>6</v>
      </c>
      <c r="B191">
        <v>177.48089399998699</v>
      </c>
      <c r="C191" s="4">
        <f t="shared" si="2"/>
        <v>0.94500233155482005</v>
      </c>
      <c r="D191" s="1">
        <v>9.4500233155482002E-5</v>
      </c>
      <c r="E191">
        <v>2833700</v>
      </c>
      <c r="F191">
        <v>959.31211915675499</v>
      </c>
      <c r="H191" t="s">
        <v>6</v>
      </c>
      <c r="I191">
        <v>177.48089399998759</v>
      </c>
      <c r="J191">
        <f>DTDRpat_result0[[#This Row],[gap of angle (rad)2]]*10000</f>
        <v>0.65865741825885527</v>
      </c>
      <c r="K191">
        <v>6.586574182588553E-5</v>
      </c>
    </row>
    <row r="192" spans="1:11" x14ac:dyDescent="0.3">
      <c r="A192" t="s">
        <v>6</v>
      </c>
      <c r="B192">
        <v>179.36605699998501</v>
      </c>
      <c r="C192" s="4">
        <f t="shared" si="2"/>
        <v>0.94545684864672908</v>
      </c>
      <c r="D192" s="1">
        <v>9.4545684864672904E-5</v>
      </c>
      <c r="E192">
        <v>2863800</v>
      </c>
      <c r="F192">
        <v>959.08196101373903</v>
      </c>
      <c r="H192" t="s">
        <v>6</v>
      </c>
      <c r="I192">
        <v>179.36605699998518</v>
      </c>
      <c r="J192">
        <f>DTDRpat_result0[[#This Row],[gap of angle (rad)2]]*10000</f>
        <v>0.65789568334847159</v>
      </c>
      <c r="K192">
        <v>6.5789568334847164E-5</v>
      </c>
    </row>
    <row r="193" spans="1:11" x14ac:dyDescent="0.3">
      <c r="A193" t="s">
        <v>6</v>
      </c>
      <c r="B193">
        <v>179.36605699998501</v>
      </c>
      <c r="C193" s="4">
        <f t="shared" si="2"/>
        <v>0.94509889816334303</v>
      </c>
      <c r="D193" s="1">
        <v>9.4509889816334303E-5</v>
      </c>
      <c r="E193">
        <v>2863800</v>
      </c>
      <c r="F193">
        <v>959.262675914797</v>
      </c>
      <c r="H193" t="s">
        <v>6</v>
      </c>
      <c r="I193">
        <v>179.36605699998518</v>
      </c>
      <c r="J193">
        <f>DTDRpat_result0[[#This Row],[gap of angle (rad)2]]*10000</f>
        <v>0.65789568334847159</v>
      </c>
      <c r="K193">
        <v>6.5789568334847164E-5</v>
      </c>
    </row>
    <row r="194" spans="1:11" x14ac:dyDescent="0.3">
      <c r="A194" t="s">
        <v>6</v>
      </c>
      <c r="B194">
        <v>181.25748299998199</v>
      </c>
      <c r="C194" s="4">
        <f t="shared" si="2"/>
        <v>0.94501035565256397</v>
      </c>
      <c r="D194" s="1">
        <v>9.4501035565256397E-5</v>
      </c>
      <c r="E194">
        <v>2894000</v>
      </c>
      <c r="F194">
        <v>959.30806528811001</v>
      </c>
      <c r="H194" t="s">
        <v>6</v>
      </c>
      <c r="I194">
        <v>181.25748299998276</v>
      </c>
      <c r="J194">
        <f>DTDRpat_result0[[#This Row],[gap of angle (rad)2]]*10000</f>
        <v>0.65804496277281188</v>
      </c>
      <c r="K194">
        <v>6.5804496277281188E-5</v>
      </c>
    </row>
    <row r="195" spans="1:11" x14ac:dyDescent="0.3">
      <c r="A195" t="s">
        <v>6</v>
      </c>
      <c r="B195">
        <v>181.25748299998199</v>
      </c>
      <c r="C195" s="4">
        <f t="shared" ref="C195:C258" si="3">D195*10000</f>
        <v>0.9457150826532289</v>
      </c>
      <c r="D195" s="1">
        <v>9.4571508265322895E-5</v>
      </c>
      <c r="E195">
        <v>2894000</v>
      </c>
      <c r="F195">
        <v>958.94967063046602</v>
      </c>
      <c r="H195" t="s">
        <v>6</v>
      </c>
      <c r="I195">
        <v>181.25748299998276</v>
      </c>
      <c r="J195">
        <f>DTDRpat_result0[[#This Row],[gap of angle (rad)2]]*10000</f>
        <v>0.65804494590127416</v>
      </c>
      <c r="K195">
        <v>6.5804494590127421E-5</v>
      </c>
    </row>
    <row r="196" spans="1:11" x14ac:dyDescent="0.3">
      <c r="A196" t="s">
        <v>6</v>
      </c>
      <c r="B196">
        <v>183.14890899997999</v>
      </c>
      <c r="C196" s="4">
        <f t="shared" si="3"/>
        <v>0.94508415535951407</v>
      </c>
      <c r="D196" s="1">
        <v>9.4508415535951402E-5</v>
      </c>
      <c r="E196">
        <v>2924200</v>
      </c>
      <c r="F196">
        <v>959.27017415562898</v>
      </c>
      <c r="H196" t="s">
        <v>6</v>
      </c>
      <c r="I196">
        <v>183.14890899998031</v>
      </c>
      <c r="J196">
        <f>DTDRpat_result0[[#This Row],[gap of angle (rad)2]]*10000</f>
        <v>0.65910979190017671</v>
      </c>
      <c r="K196">
        <v>6.5910979190017668E-5</v>
      </c>
    </row>
    <row r="197" spans="1:11" x14ac:dyDescent="0.3">
      <c r="A197" t="s">
        <v>6</v>
      </c>
      <c r="B197">
        <v>183.14890899997999</v>
      </c>
      <c r="C197" s="4">
        <f t="shared" si="3"/>
        <v>0.946850867226676</v>
      </c>
      <c r="D197" s="1">
        <v>9.46850867226676E-5</v>
      </c>
      <c r="E197">
        <v>2924200</v>
      </c>
      <c r="F197">
        <v>958.37393675667897</v>
      </c>
      <c r="H197" t="s">
        <v>6</v>
      </c>
      <c r="I197">
        <v>183.14890899998031</v>
      </c>
      <c r="J197">
        <f>DTDRpat_result0[[#This Row],[gap of angle (rad)2]]*10000</f>
        <v>0.65910979190017671</v>
      </c>
      <c r="K197">
        <v>6.5910979190017668E-5</v>
      </c>
    </row>
    <row r="198" spans="1:11" x14ac:dyDescent="0.3">
      <c r="A198" t="s">
        <v>6</v>
      </c>
      <c r="B198">
        <v>185.03407199997699</v>
      </c>
      <c r="C198" s="4">
        <f t="shared" si="3"/>
        <v>0.94567534358199501</v>
      </c>
      <c r="D198" s="1">
        <v>9.4567534358199498E-5</v>
      </c>
      <c r="E198">
        <v>2954300</v>
      </c>
      <c r="F198">
        <v>958.96985516486598</v>
      </c>
      <c r="H198" t="s">
        <v>6</v>
      </c>
      <c r="I198">
        <v>185.0340719999779</v>
      </c>
      <c r="J198">
        <f>DTDRpat_result0[[#This Row],[gap of angle (rad)2]]*10000</f>
        <v>0.66108641839857041</v>
      </c>
      <c r="K198">
        <v>6.6108641839857045E-5</v>
      </c>
    </row>
    <row r="199" spans="1:11" x14ac:dyDescent="0.3">
      <c r="A199" t="s">
        <v>6</v>
      </c>
      <c r="B199">
        <v>185.03407199997699</v>
      </c>
      <c r="C199" s="4">
        <f t="shared" si="3"/>
        <v>0.94849857961278605</v>
      </c>
      <c r="D199" s="1">
        <v>9.48498579612786E-5</v>
      </c>
      <c r="E199">
        <v>2954300</v>
      </c>
      <c r="F199">
        <v>957.54070887649596</v>
      </c>
      <c r="H199" t="s">
        <v>6</v>
      </c>
      <c r="I199">
        <v>185.0340719999779</v>
      </c>
      <c r="J199">
        <f>DTDRpat_result0[[#This Row],[gap of angle (rad)2]]*10000</f>
        <v>0.66108645198640303</v>
      </c>
      <c r="K199">
        <v>6.6108645198640308E-5</v>
      </c>
    </row>
    <row r="200" spans="1:11" x14ac:dyDescent="0.3">
      <c r="A200" t="s">
        <v>6</v>
      </c>
      <c r="B200">
        <v>186.92549799997499</v>
      </c>
      <c r="C200" s="4">
        <f t="shared" si="3"/>
        <v>0.94678719601991601</v>
      </c>
      <c r="D200" s="1">
        <v>9.4678719601991605E-5</v>
      </c>
      <c r="E200">
        <v>2984500</v>
      </c>
      <c r="F200">
        <v>958.40617499504799</v>
      </c>
      <c r="H200" t="s">
        <v>6</v>
      </c>
      <c r="I200">
        <v>186.92549799997545</v>
      </c>
      <c r="J200">
        <f>DTDRpat_result0[[#This Row],[gap of angle (rad)2]]*10000</f>
        <v>0.6639957930808289</v>
      </c>
      <c r="K200">
        <v>6.6399579308082894E-5</v>
      </c>
    </row>
    <row r="201" spans="1:11" x14ac:dyDescent="0.3">
      <c r="A201" t="s">
        <v>6</v>
      </c>
      <c r="B201">
        <v>186.92549799997499</v>
      </c>
      <c r="C201" s="4">
        <f t="shared" si="3"/>
        <v>0.95066739986153004</v>
      </c>
      <c r="D201" s="1">
        <v>9.5066739986153002E-5</v>
      </c>
      <c r="E201">
        <v>2984500</v>
      </c>
      <c r="F201">
        <v>956.44740742153601</v>
      </c>
      <c r="H201" t="s">
        <v>6</v>
      </c>
      <c r="I201">
        <v>186.92549799997545</v>
      </c>
      <c r="J201">
        <f>DTDRpat_result0[[#This Row],[gap of angle (rad)2]]*10000</f>
        <v>0.66399577636049656</v>
      </c>
      <c r="K201">
        <v>6.6399577636049655E-5</v>
      </c>
    </row>
    <row r="202" spans="1:11" x14ac:dyDescent="0.3">
      <c r="A202" t="s">
        <v>6</v>
      </c>
      <c r="B202">
        <v>188.81066099997301</v>
      </c>
      <c r="C202" s="4">
        <f t="shared" si="3"/>
        <v>0.94841118562846305</v>
      </c>
      <c r="D202" s="1">
        <v>9.4841118562846304E-5</v>
      </c>
      <c r="E202">
        <v>3014600</v>
      </c>
      <c r="F202">
        <v>957.58484732377997</v>
      </c>
      <c r="H202" t="s">
        <v>6</v>
      </c>
      <c r="I202">
        <v>188.81066099997304</v>
      </c>
      <c r="J202">
        <f>DTDRpat_result0[[#This Row],[gap of angle (rad)2]]*10000</f>
        <v>0.66783006450509474</v>
      </c>
      <c r="K202">
        <v>6.678300645050948E-5</v>
      </c>
    </row>
    <row r="203" spans="1:11" x14ac:dyDescent="0.3">
      <c r="A203" t="s">
        <v>6</v>
      </c>
      <c r="B203">
        <v>188.81066099997301</v>
      </c>
      <c r="C203" s="4">
        <f t="shared" si="3"/>
        <v>0.95334051890595806</v>
      </c>
      <c r="D203" s="1">
        <v>9.5334051890595803E-5</v>
      </c>
      <c r="E203">
        <v>3014600</v>
      </c>
      <c r="F203">
        <v>955.10513337617999</v>
      </c>
      <c r="H203" t="s">
        <v>6</v>
      </c>
      <c r="I203">
        <v>188.81066099997304</v>
      </c>
      <c r="J203">
        <f>DTDRpat_result0[[#This Row],[gap of angle (rad)2]]*10000</f>
        <v>0.66783006450509474</v>
      </c>
      <c r="K203">
        <v>6.678300645050948E-5</v>
      </c>
    </row>
    <row r="204" spans="1:11" x14ac:dyDescent="0.3">
      <c r="A204" t="s">
        <v>6</v>
      </c>
      <c r="B204">
        <v>190.69582399997</v>
      </c>
      <c r="C204" s="4">
        <f t="shared" si="3"/>
        <v>0.95054831990802002</v>
      </c>
      <c r="D204" s="1">
        <v>9.5054831990802006E-5</v>
      </c>
      <c r="E204">
        <v>3044700</v>
      </c>
      <c r="F204">
        <v>956.507331879096</v>
      </c>
      <c r="H204" t="s">
        <v>6</v>
      </c>
      <c r="I204">
        <v>190.6958239999706</v>
      </c>
      <c r="J204">
        <f>DTDRpat_result0[[#This Row],[gap of angle (rad)2]]*10000</f>
        <v>0.67261255180859436</v>
      </c>
      <c r="K204">
        <v>6.726125518085944E-5</v>
      </c>
    </row>
    <row r="205" spans="1:11" x14ac:dyDescent="0.3">
      <c r="A205" t="s">
        <v>6</v>
      </c>
      <c r="B205">
        <v>190.69582399997</v>
      </c>
      <c r="C205" s="4">
        <f t="shared" si="3"/>
        <v>0.95652111396377792</v>
      </c>
      <c r="D205" s="1">
        <v>9.5652111396377798E-5</v>
      </c>
      <c r="E205">
        <v>3044700</v>
      </c>
      <c r="F205">
        <v>953.51544906984395</v>
      </c>
      <c r="H205" t="s">
        <v>6</v>
      </c>
      <c r="I205">
        <v>190.6958239999706</v>
      </c>
      <c r="J205">
        <f>DTDRpat_result0[[#This Row],[gap of angle (rad)2]]*10000</f>
        <v>0.67261256831472427</v>
      </c>
      <c r="K205">
        <v>6.7261256831472422E-5</v>
      </c>
    </row>
    <row r="206" spans="1:11" x14ac:dyDescent="0.3">
      <c r="A206" t="s">
        <v>6</v>
      </c>
      <c r="B206">
        <v>192.574723999968</v>
      </c>
      <c r="C206" s="4">
        <f t="shared" si="3"/>
        <v>0.95318658647355503</v>
      </c>
      <c r="D206" s="1">
        <v>9.5318658647355499E-5</v>
      </c>
      <c r="E206">
        <v>3074700</v>
      </c>
      <c r="F206">
        <v>955.182266179208</v>
      </c>
      <c r="H206" t="s">
        <v>6</v>
      </c>
      <c r="I206">
        <v>192.5747239999682</v>
      </c>
      <c r="J206">
        <f>DTDRpat_result0[[#This Row],[gap of angle (rad)2]]*10000</f>
        <v>0.67834126834083563</v>
      </c>
      <c r="K206">
        <v>6.7834126834083561E-5</v>
      </c>
    </row>
    <row r="207" spans="1:11" x14ac:dyDescent="0.3">
      <c r="A207" t="s">
        <v>6</v>
      </c>
      <c r="B207">
        <v>192.574723999968</v>
      </c>
      <c r="C207" s="4">
        <f t="shared" si="3"/>
        <v>0.96019225594980295</v>
      </c>
      <c r="D207" s="1">
        <v>9.6019225594980295E-5</v>
      </c>
      <c r="E207">
        <v>3074700</v>
      </c>
      <c r="F207">
        <v>951.69049269948198</v>
      </c>
      <c r="H207" t="s">
        <v>6</v>
      </c>
      <c r="I207">
        <v>192.5747239999682</v>
      </c>
      <c r="J207">
        <f>DTDRpat_result0[[#This Row],[gap of angle (rad)2]]*10000</f>
        <v>0.67834126834083563</v>
      </c>
      <c r="K207">
        <v>6.7834126834083561E-5</v>
      </c>
    </row>
    <row r="208" spans="1:11" x14ac:dyDescent="0.3">
      <c r="A208" t="s">
        <v>6</v>
      </c>
      <c r="B208">
        <v>194.45988699996499</v>
      </c>
      <c r="C208" s="4">
        <f t="shared" si="3"/>
        <v>0.95634048217580803</v>
      </c>
      <c r="D208" s="1">
        <v>9.5634048217580806E-5</v>
      </c>
      <c r="E208">
        <v>3104800</v>
      </c>
      <c r="F208">
        <v>953.60551624559798</v>
      </c>
      <c r="H208" t="s">
        <v>6</v>
      </c>
      <c r="I208">
        <v>194.45988699996576</v>
      </c>
      <c r="J208">
        <f>DTDRpat_result0[[#This Row],[gap of angle (rad)2]]*10000</f>
        <v>0.68507689535049976</v>
      </c>
      <c r="K208">
        <v>6.8507689535049975E-5</v>
      </c>
    </row>
    <row r="209" spans="1:11" x14ac:dyDescent="0.3">
      <c r="A209" t="s">
        <v>6</v>
      </c>
      <c r="B209">
        <v>194.45988699996499</v>
      </c>
      <c r="C209" s="4">
        <f t="shared" si="3"/>
        <v>0.96437371615017997</v>
      </c>
      <c r="D209" s="1">
        <v>9.6437371615017999E-5</v>
      </c>
      <c r="E209">
        <v>3104800</v>
      </c>
      <c r="F209">
        <v>949.62463218784399</v>
      </c>
      <c r="H209" t="s">
        <v>6</v>
      </c>
      <c r="I209">
        <v>194.45988699996576</v>
      </c>
      <c r="J209">
        <f>DTDRpat_result0[[#This Row],[gap of angle (rad)2]]*10000</f>
        <v>0.68507692776213147</v>
      </c>
      <c r="K209">
        <v>6.8507692776213145E-5</v>
      </c>
    </row>
    <row r="210" spans="1:11" x14ac:dyDescent="0.3">
      <c r="A210" t="s">
        <v>6</v>
      </c>
      <c r="B210">
        <v>196.33878699996299</v>
      </c>
      <c r="C210" s="4">
        <f t="shared" si="3"/>
        <v>0.95998523005781899</v>
      </c>
      <c r="D210" s="1">
        <v>9.5998523005781896E-5</v>
      </c>
      <c r="E210">
        <v>3134800</v>
      </c>
      <c r="F210">
        <v>951.79313152208499</v>
      </c>
      <c r="H210" t="s">
        <v>6</v>
      </c>
      <c r="I210">
        <v>196.33878699996336</v>
      </c>
      <c r="J210">
        <f>DTDRpat_result0[[#This Row],[gap of angle (rad)2]]*10000</f>
        <v>0.69280080143252987</v>
      </c>
      <c r="K210">
        <v>6.9280080143252983E-5</v>
      </c>
    </row>
    <row r="211" spans="1:11" x14ac:dyDescent="0.3">
      <c r="A211" t="s">
        <v>6</v>
      </c>
      <c r="B211">
        <v>196.33878699996299</v>
      </c>
      <c r="C211" s="4">
        <f t="shared" si="3"/>
        <v>0.96903207948288506</v>
      </c>
      <c r="D211" s="1">
        <v>9.6903207948288502E-5</v>
      </c>
      <c r="E211">
        <v>3134800</v>
      </c>
      <c r="F211">
        <v>947.33897583984594</v>
      </c>
      <c r="H211" t="s">
        <v>6</v>
      </c>
      <c r="I211">
        <v>196.33878699996336</v>
      </c>
      <c r="J211">
        <f>DTDRpat_result0[[#This Row],[gap of angle (rad)2]]*10000</f>
        <v>0.69280078540738899</v>
      </c>
      <c r="K211">
        <v>6.9280078540738895E-5</v>
      </c>
    </row>
    <row r="212" spans="1:11" x14ac:dyDescent="0.3">
      <c r="A212" t="s">
        <v>6</v>
      </c>
      <c r="B212">
        <v>198.23021299996</v>
      </c>
      <c r="C212" s="4">
        <f t="shared" si="3"/>
        <v>0.964155071394587</v>
      </c>
      <c r="D212" s="1">
        <v>9.6415507139458701E-5</v>
      </c>
      <c r="E212">
        <v>3165000</v>
      </c>
      <c r="F212">
        <v>949.73230959804096</v>
      </c>
      <c r="H212" t="s">
        <v>6</v>
      </c>
      <c r="I212">
        <v>198.23021299996091</v>
      </c>
      <c r="J212">
        <f>DTDRpat_result0[[#This Row],[gap of angle (rad)2]]*10000</f>
        <v>0.70162539591066708</v>
      </c>
      <c r="K212">
        <v>7.0162539591066704E-5</v>
      </c>
    </row>
    <row r="213" spans="1:11" x14ac:dyDescent="0.3">
      <c r="A213" t="s">
        <v>6</v>
      </c>
      <c r="B213">
        <v>198.23021299996</v>
      </c>
      <c r="C213" s="4">
        <f t="shared" si="3"/>
        <v>0.97420964582406799</v>
      </c>
      <c r="D213" s="1">
        <v>9.7420964582406799E-5</v>
      </c>
      <c r="E213">
        <v>3165000</v>
      </c>
      <c r="F213">
        <v>944.81786683879898</v>
      </c>
      <c r="H213" t="s">
        <v>6</v>
      </c>
      <c r="I213">
        <v>198.23021299996091</v>
      </c>
      <c r="J213">
        <f>DTDRpat_result0[[#This Row],[gap of angle (rad)2]]*10000</f>
        <v>0.70162539591066708</v>
      </c>
      <c r="K213">
        <v>7.0162539591066704E-5</v>
      </c>
    </row>
    <row r="214" spans="1:11" x14ac:dyDescent="0.3">
      <c r="A214" t="s">
        <v>6</v>
      </c>
      <c r="B214">
        <v>200.11537599995799</v>
      </c>
      <c r="C214" s="4">
        <f t="shared" si="3"/>
        <v>0.96880552458859293</v>
      </c>
      <c r="D214" s="1">
        <v>9.6880552458859293E-5</v>
      </c>
      <c r="E214">
        <v>3195100</v>
      </c>
      <c r="F214">
        <v>947.449751346982</v>
      </c>
      <c r="H214" t="s">
        <v>6</v>
      </c>
      <c r="I214">
        <v>200.1153759999585</v>
      </c>
      <c r="J214">
        <f>DTDRpat_result0[[#This Row],[gap of angle (rad)2]]*10000</f>
        <v>0.71150223581227812</v>
      </c>
      <c r="K214">
        <v>7.1150223581227813E-5</v>
      </c>
    </row>
    <row r="215" spans="1:11" x14ac:dyDescent="0.3">
      <c r="A215" t="s">
        <v>6</v>
      </c>
      <c r="B215">
        <v>200.11537599995799</v>
      </c>
      <c r="C215" s="4">
        <f t="shared" si="3"/>
        <v>0.97984961230194789</v>
      </c>
      <c r="D215" s="1">
        <v>9.7984961230194794E-5</v>
      </c>
      <c r="E215">
        <v>3195100</v>
      </c>
      <c r="F215">
        <v>942.09443813958296</v>
      </c>
      <c r="H215" t="s">
        <v>6</v>
      </c>
      <c r="I215">
        <v>200.1153759999585</v>
      </c>
      <c r="J215">
        <f>DTDRpat_result0[[#This Row],[gap of angle (rad)2]]*10000</f>
        <v>0.71150220460441982</v>
      </c>
      <c r="K215">
        <v>7.1150220460441984E-5</v>
      </c>
    </row>
    <row r="216" spans="1:11" x14ac:dyDescent="0.3">
      <c r="A216" t="s">
        <v>6</v>
      </c>
      <c r="B216">
        <v>202.006801999956</v>
      </c>
      <c r="C216" s="4">
        <f t="shared" si="3"/>
        <v>0.97396073370705993</v>
      </c>
      <c r="D216" s="1">
        <v>9.7396073370705996E-5</v>
      </c>
      <c r="E216">
        <v>3225300</v>
      </c>
      <c r="F216">
        <v>944.93861501950698</v>
      </c>
      <c r="H216" t="s">
        <v>6</v>
      </c>
      <c r="I216">
        <v>202.00680199995605</v>
      </c>
      <c r="J216">
        <f>DTDRpat_result0[[#This Row],[gap of angle (rad)2]]*10000</f>
        <v>0.72253491901829203</v>
      </c>
      <c r="K216">
        <v>7.2253491901829207E-5</v>
      </c>
    </row>
    <row r="217" spans="1:11" x14ac:dyDescent="0.3">
      <c r="A217" t="s">
        <v>6</v>
      </c>
      <c r="B217">
        <v>202.006801999956</v>
      </c>
      <c r="C217" s="4">
        <f t="shared" si="3"/>
        <v>0.98598017795271797</v>
      </c>
      <c r="D217" s="1">
        <v>9.8598017795271801E-5</v>
      </c>
      <c r="E217">
        <v>3225300</v>
      </c>
      <c r="F217">
        <v>939.16067924332594</v>
      </c>
      <c r="H217" t="s">
        <v>6</v>
      </c>
      <c r="I217">
        <v>202.00680199995605</v>
      </c>
      <c r="J217">
        <f>DTDRpat_result0[[#This Row],[gap of angle (rad)2]]*10000</f>
        <v>0.72253488828695933</v>
      </c>
      <c r="K217">
        <v>7.2253488828695933E-5</v>
      </c>
    </row>
    <row r="218" spans="1:11" x14ac:dyDescent="0.3">
      <c r="A218" t="s">
        <v>6</v>
      </c>
      <c r="B218">
        <v>203.89822799995301</v>
      </c>
      <c r="C218" s="4">
        <f t="shared" si="3"/>
        <v>0.979598211907036</v>
      </c>
      <c r="D218" s="1">
        <v>9.7959821190703601E-5</v>
      </c>
      <c r="E218">
        <v>3255500</v>
      </c>
      <c r="F218">
        <v>942.21532645047398</v>
      </c>
      <c r="H218" t="s">
        <v>6</v>
      </c>
      <c r="I218">
        <v>203.89822799995363</v>
      </c>
      <c r="J218">
        <f>DTDRpat_result0[[#This Row],[gap of angle (rad)2]]*10000</f>
        <v>0.7347344791955428</v>
      </c>
      <c r="K218">
        <v>7.3473447919554277E-5</v>
      </c>
    </row>
    <row r="219" spans="1:11" x14ac:dyDescent="0.3">
      <c r="A219" t="s">
        <v>6</v>
      </c>
      <c r="B219">
        <v>203.89822799995301</v>
      </c>
      <c r="C219" s="4">
        <f t="shared" si="3"/>
        <v>0.99257274554550601</v>
      </c>
      <c r="D219" s="1">
        <v>9.9257274554550605E-5</v>
      </c>
      <c r="E219">
        <v>3255500</v>
      </c>
      <c r="F219">
        <v>936.03624361680704</v>
      </c>
      <c r="H219" t="s">
        <v>6</v>
      </c>
      <c r="I219">
        <v>203.89822799995363</v>
      </c>
      <c r="J219">
        <f>DTDRpat_result0[[#This Row],[gap of angle (rad)2]]*10000</f>
        <v>0.7347344791955428</v>
      </c>
      <c r="K219">
        <v>7.3473447919554277E-5</v>
      </c>
    </row>
    <row r="220" spans="1:11" x14ac:dyDescent="0.3">
      <c r="A220" t="s">
        <v>6</v>
      </c>
      <c r="B220">
        <v>205.783390999951</v>
      </c>
      <c r="C220" s="4">
        <f t="shared" si="3"/>
        <v>0.98568778875817098</v>
      </c>
      <c r="D220" s="1">
        <v>9.8568778875817096E-5</v>
      </c>
      <c r="E220">
        <v>3285600</v>
      </c>
      <c r="F220">
        <v>939.29996959090204</v>
      </c>
      <c r="H220" t="s">
        <v>6</v>
      </c>
      <c r="I220">
        <v>205.78339099995119</v>
      </c>
      <c r="J220">
        <f>DTDRpat_result0[[#This Row],[gap of angle (rad)2]]*10000</f>
        <v>0.74810010562373108</v>
      </c>
      <c r="K220">
        <v>7.4810010562373103E-5</v>
      </c>
    </row>
    <row r="221" spans="1:11" x14ac:dyDescent="0.3">
      <c r="A221" t="s">
        <v>6</v>
      </c>
      <c r="B221">
        <v>205.783390999951</v>
      </c>
      <c r="C221" s="4">
        <f t="shared" si="3"/>
        <v>0.99959104081793404</v>
      </c>
      <c r="D221" s="1">
        <v>9.9959104081793405E-5</v>
      </c>
      <c r="E221">
        <v>3285600</v>
      </c>
      <c r="F221">
        <v>932.74412072100904</v>
      </c>
      <c r="H221" t="s">
        <v>6</v>
      </c>
      <c r="I221">
        <v>205.78339099995119</v>
      </c>
      <c r="J221">
        <f>DTDRpat_result0[[#This Row],[gap of angle (rad)2]]*10000</f>
        <v>0.7481000907831632</v>
      </c>
      <c r="K221">
        <v>7.4810009078316316E-5</v>
      </c>
    </row>
    <row r="222" spans="1:11" x14ac:dyDescent="0.3">
      <c r="A222" t="s">
        <v>6</v>
      </c>
      <c r="B222">
        <v>207.66855399994799</v>
      </c>
      <c r="C222" s="4">
        <f t="shared" si="3"/>
        <v>0.99223688345361505</v>
      </c>
      <c r="D222" s="1">
        <v>9.92236883453615E-5</v>
      </c>
      <c r="E222">
        <v>3315700</v>
      </c>
      <c r="F222">
        <v>936.19467755910898</v>
      </c>
      <c r="H222" t="s">
        <v>6</v>
      </c>
      <c r="I222">
        <v>207.66855399994878</v>
      </c>
      <c r="J222">
        <f>DTDRpat_result0[[#This Row],[gap of angle (rad)2]]*10000</f>
        <v>0.76271920738634835</v>
      </c>
      <c r="K222">
        <v>7.6271920738634833E-5</v>
      </c>
    </row>
    <row r="223" spans="1:11" x14ac:dyDescent="0.3">
      <c r="A223" t="s">
        <v>6</v>
      </c>
      <c r="B223">
        <v>207.66855399994799</v>
      </c>
      <c r="C223" s="4">
        <f t="shared" si="3"/>
        <v>1.0070422256618301</v>
      </c>
      <c r="D223">
        <v>1.00704222566183E-4</v>
      </c>
      <c r="E223">
        <v>3315700</v>
      </c>
      <c r="F223">
        <v>929.286713176494</v>
      </c>
      <c r="H223" t="s">
        <v>6</v>
      </c>
      <c r="I223">
        <v>207.66855399994878</v>
      </c>
      <c r="J223">
        <f>DTDRpat_result0[[#This Row],[gap of angle (rad)2]]*10000</f>
        <v>0.76271923649858242</v>
      </c>
      <c r="K223">
        <v>7.6271923649858246E-5</v>
      </c>
    </row>
    <row r="224" spans="1:11" x14ac:dyDescent="0.3">
      <c r="A224" t="s">
        <v>6</v>
      </c>
      <c r="B224">
        <v>209.553716999946</v>
      </c>
      <c r="C224" s="4">
        <f t="shared" si="3"/>
        <v>0.99923334985322299</v>
      </c>
      <c r="D224" s="1">
        <v>9.9923334985322303E-5</v>
      </c>
      <c r="E224">
        <v>3345800</v>
      </c>
      <c r="F224">
        <v>932.91106527919203</v>
      </c>
      <c r="H224" t="s">
        <v>6</v>
      </c>
      <c r="I224">
        <v>209.55371699994635</v>
      </c>
      <c r="J224">
        <f>DTDRpat_result0[[#This Row],[gap of angle (rad)2]]*10000</f>
        <v>0.77864407723274953</v>
      </c>
      <c r="K224">
        <v>7.7864407723274954E-5</v>
      </c>
    </row>
    <row r="225" spans="1:11" x14ac:dyDescent="0.3">
      <c r="A225" t="s">
        <v>6</v>
      </c>
      <c r="B225">
        <v>209.553716999946</v>
      </c>
      <c r="C225" s="4">
        <f t="shared" si="3"/>
        <v>1.0149104757476799</v>
      </c>
      <c r="D225">
        <v>1.01491047574768E-4</v>
      </c>
      <c r="E225">
        <v>3345800</v>
      </c>
      <c r="F225">
        <v>925.67722138979798</v>
      </c>
      <c r="H225" t="s">
        <v>6</v>
      </c>
      <c r="I225">
        <v>209.55371699994635</v>
      </c>
      <c r="J225">
        <f>DTDRpat_result0[[#This Row],[gap of angle (rad)2]]*10000</f>
        <v>0.77864410574957876</v>
      </c>
      <c r="K225">
        <v>7.7864410574957874E-5</v>
      </c>
    </row>
    <row r="226" spans="1:11" x14ac:dyDescent="0.3">
      <c r="A226" t="s">
        <v>6</v>
      </c>
      <c r="B226">
        <v>211.438879999943</v>
      </c>
      <c r="C226" s="4">
        <f t="shared" si="3"/>
        <v>1.0066634817334201</v>
      </c>
      <c r="D226">
        <v>1.0066634817334201E-4</v>
      </c>
      <c r="E226">
        <v>3375900</v>
      </c>
      <c r="F226">
        <v>929.46153449520796</v>
      </c>
      <c r="H226" t="s">
        <v>6</v>
      </c>
      <c r="I226">
        <v>211.43887999994394</v>
      </c>
      <c r="J226">
        <f>DTDRpat_result0[[#This Row],[gap of angle (rad)2]]*10000</f>
        <v>0.79593024816012259</v>
      </c>
      <c r="K226">
        <v>7.9593024816012264E-5</v>
      </c>
    </row>
    <row r="227" spans="1:11" x14ac:dyDescent="0.3">
      <c r="A227" t="s">
        <v>6</v>
      </c>
      <c r="B227">
        <v>211.438879999943</v>
      </c>
      <c r="C227" s="4">
        <f t="shared" si="3"/>
        <v>1.0231779121142299</v>
      </c>
      <c r="D227">
        <v>1.02317791211423E-4</v>
      </c>
      <c r="E227">
        <v>3375900</v>
      </c>
      <c r="F227">
        <v>921.92957761454397</v>
      </c>
      <c r="H227" t="s">
        <v>6</v>
      </c>
      <c r="I227">
        <v>211.43887999994394</v>
      </c>
      <c r="J227">
        <f>DTDRpat_result0[[#This Row],[gap of angle (rad)2]]*10000</f>
        <v>0.79593024816012259</v>
      </c>
      <c r="K227">
        <v>7.9593024816012264E-5</v>
      </c>
    </row>
    <row r="228" spans="1:11" x14ac:dyDescent="0.3">
      <c r="A228" t="s">
        <v>6</v>
      </c>
      <c r="B228">
        <v>213.32404299994101</v>
      </c>
      <c r="C228" s="4">
        <f t="shared" si="3"/>
        <v>1.0145114584425801</v>
      </c>
      <c r="D228">
        <v>1.01451145844258E-4</v>
      </c>
      <c r="E228">
        <v>3406000</v>
      </c>
      <c r="F228">
        <v>925.85924862165496</v>
      </c>
      <c r="H228" t="s">
        <v>6</v>
      </c>
      <c r="I228">
        <v>213.3240429999415</v>
      </c>
      <c r="J228">
        <f>DTDRpat_result0[[#This Row],[gap of angle (rad)2]]*10000</f>
        <v>0.81463585256526672</v>
      </c>
      <c r="K228">
        <v>8.1463585256526675E-5</v>
      </c>
    </row>
    <row r="229" spans="1:11" x14ac:dyDescent="0.3">
      <c r="A229" t="s">
        <v>6</v>
      </c>
      <c r="B229">
        <v>213.32404299994101</v>
      </c>
      <c r="C229" s="4">
        <f t="shared" si="3"/>
        <v>1.03182447029235</v>
      </c>
      <c r="D229">
        <v>1.03182447029235E-4</v>
      </c>
      <c r="E229">
        <v>3406000</v>
      </c>
      <c r="F229">
        <v>918.05841397855204</v>
      </c>
      <c r="H229" t="s">
        <v>6</v>
      </c>
      <c r="I229">
        <v>213.3240429999415</v>
      </c>
      <c r="J229">
        <f>DTDRpat_result0[[#This Row],[gap of angle (rad)2]]*10000</f>
        <v>0.81463585256526672</v>
      </c>
      <c r="K229">
        <v>8.1463585256526675E-5</v>
      </c>
    </row>
    <row r="230" spans="1:11" x14ac:dyDescent="0.3">
      <c r="A230" t="s">
        <v>6</v>
      </c>
      <c r="B230">
        <v>215.20294299993901</v>
      </c>
      <c r="C230" s="4">
        <f t="shared" si="3"/>
        <v>1.02273157837191</v>
      </c>
      <c r="D230">
        <v>1.02273157837191E-4</v>
      </c>
      <c r="E230">
        <v>3436000</v>
      </c>
      <c r="F230">
        <v>922.13074745832603</v>
      </c>
      <c r="H230" t="s">
        <v>6</v>
      </c>
      <c r="I230">
        <v>215.2029429999391</v>
      </c>
      <c r="J230">
        <f>DTDRpat_result0[[#This Row],[gap of angle (rad)2]]*10000</f>
        <v>0.83475169216547995</v>
      </c>
      <c r="K230">
        <v>8.3475169216547997E-5</v>
      </c>
    </row>
    <row r="231" spans="1:11" x14ac:dyDescent="0.3">
      <c r="A231" t="s">
        <v>6</v>
      </c>
      <c r="B231">
        <v>215.20294299993901</v>
      </c>
      <c r="C231" s="4">
        <f t="shared" si="3"/>
        <v>1.0407970532706601</v>
      </c>
      <c r="D231">
        <v>1.04079705327066E-4</v>
      </c>
      <c r="E231">
        <v>3436000</v>
      </c>
      <c r="F231">
        <v>914.09240910412404</v>
      </c>
      <c r="H231" t="s">
        <v>6</v>
      </c>
      <c r="I231">
        <v>215.2029429999391</v>
      </c>
      <c r="J231">
        <f>DTDRpat_result0[[#This Row],[gap of angle (rad)2]]*10000</f>
        <v>0.83475166556540104</v>
      </c>
      <c r="K231">
        <v>8.3475166556540108E-5</v>
      </c>
    </row>
    <row r="232" spans="1:11" x14ac:dyDescent="0.3">
      <c r="A232" t="s">
        <v>6</v>
      </c>
      <c r="B232">
        <v>217.09436899993599</v>
      </c>
      <c r="C232" s="4">
        <f t="shared" si="3"/>
        <v>1.03138791720529</v>
      </c>
      <c r="D232">
        <v>1.0313879172052899E-4</v>
      </c>
      <c r="E232">
        <v>3466200</v>
      </c>
      <c r="F232">
        <v>918.252700155139</v>
      </c>
      <c r="H232" t="s">
        <v>6</v>
      </c>
      <c r="I232">
        <v>217.09436899993665</v>
      </c>
      <c r="J232">
        <f>DTDRpat_result0[[#This Row],[gap of angle (rad)2]]*10000</f>
        <v>0.85654827270240108</v>
      </c>
      <c r="K232">
        <v>8.5654827270240108E-5</v>
      </c>
    </row>
    <row r="233" spans="1:11" x14ac:dyDescent="0.3">
      <c r="A233" t="s">
        <v>6</v>
      </c>
      <c r="B233">
        <v>217.09436899993599</v>
      </c>
      <c r="C233" s="4">
        <f t="shared" si="3"/>
        <v>1.05016202881936</v>
      </c>
      <c r="D233">
        <v>1.0501620288193599E-4</v>
      </c>
      <c r="E233">
        <v>3466200</v>
      </c>
      <c r="F233">
        <v>910.00733655243096</v>
      </c>
      <c r="H233" t="s">
        <v>6</v>
      </c>
      <c r="I233">
        <v>217.09436899993665</v>
      </c>
      <c r="J233">
        <f>DTDRpat_result0[[#This Row],[gap of angle (rad)2]]*10000</f>
        <v>0.85654827270240108</v>
      </c>
      <c r="K233">
        <v>8.5654827270240108E-5</v>
      </c>
    </row>
    <row r="234" spans="1:11" x14ac:dyDescent="0.3">
      <c r="A234" t="s">
        <v>6</v>
      </c>
      <c r="B234">
        <v>218.985794999934</v>
      </c>
      <c r="C234" s="4">
        <f t="shared" si="3"/>
        <v>1.0404043252047199</v>
      </c>
      <c r="D234">
        <v>1.0404043252047199E-4</v>
      </c>
      <c r="E234">
        <v>3496400</v>
      </c>
      <c r="F234">
        <v>914.26493202756205</v>
      </c>
      <c r="H234" t="s">
        <v>6</v>
      </c>
      <c r="I234">
        <v>218.98579499993423</v>
      </c>
      <c r="J234">
        <f>DTDRpat_result0[[#This Row],[gap of angle (rad)2]]*10000</f>
        <v>0.87995926785287137</v>
      </c>
      <c r="K234">
        <v>8.7995926785287132E-5</v>
      </c>
    </row>
    <row r="235" spans="1:11" x14ac:dyDescent="0.3">
      <c r="A235" t="s">
        <v>6</v>
      </c>
      <c r="B235">
        <v>218.985794999934</v>
      </c>
      <c r="C235" s="4">
        <f t="shared" si="3"/>
        <v>1.0598325906436199</v>
      </c>
      <c r="D235">
        <v>1.05983259064362E-4</v>
      </c>
      <c r="E235">
        <v>3496400</v>
      </c>
      <c r="F235">
        <v>905.84595767925498</v>
      </c>
      <c r="H235" t="s">
        <v>6</v>
      </c>
      <c r="I235">
        <v>218.98579499993423</v>
      </c>
      <c r="J235">
        <f>DTDRpat_result0[[#This Row],[gap of angle (rad)2]]*10000</f>
        <v>0.87995929308638043</v>
      </c>
      <c r="K235">
        <v>8.7995929308638045E-5</v>
      </c>
    </row>
    <row r="236" spans="1:11" x14ac:dyDescent="0.3">
      <c r="A236" t="s">
        <v>6</v>
      </c>
      <c r="B236">
        <v>220.87095799993099</v>
      </c>
      <c r="C236" s="4">
        <f t="shared" si="3"/>
        <v>1.04972410139094</v>
      </c>
      <c r="D236">
        <v>1.04972410139094E-4</v>
      </c>
      <c r="E236">
        <v>3526500</v>
      </c>
      <c r="F236">
        <v>910.19714482573295</v>
      </c>
      <c r="H236" t="s">
        <v>6</v>
      </c>
      <c r="I236">
        <v>220.87095799993179</v>
      </c>
      <c r="J236">
        <f>DTDRpat_result0[[#This Row],[gap of angle (rad)2]]*10000</f>
        <v>0.9049606712073528</v>
      </c>
      <c r="K236">
        <v>9.0496067120735276E-5</v>
      </c>
    </row>
    <row r="237" spans="1:11" x14ac:dyDescent="0.3">
      <c r="A237" t="s">
        <v>6</v>
      </c>
      <c r="B237">
        <v>220.87095799993099</v>
      </c>
      <c r="C237" s="4">
        <f t="shared" si="3"/>
        <v>1.06974426448414</v>
      </c>
      <c r="D237">
        <v>1.06974426448414E-4</v>
      </c>
      <c r="E237">
        <v>3526500</v>
      </c>
      <c r="F237">
        <v>901.63952928640299</v>
      </c>
      <c r="H237" t="s">
        <v>6</v>
      </c>
      <c r="I237">
        <v>220.87095799993179</v>
      </c>
      <c r="J237">
        <f>DTDRpat_result0[[#This Row],[gap of angle (rad)2]]*10000</f>
        <v>0.90496072028011498</v>
      </c>
      <c r="K237">
        <v>9.0496072028011494E-5</v>
      </c>
    </row>
    <row r="238" spans="1:11" x14ac:dyDescent="0.3">
      <c r="A238" t="s">
        <v>6</v>
      </c>
      <c r="B238">
        <v>222.75612099992901</v>
      </c>
      <c r="C238" s="4">
        <f t="shared" si="3"/>
        <v>1.05934880744662</v>
      </c>
      <c r="D238">
        <v>1.05934880744662E-4</v>
      </c>
      <c r="E238">
        <v>3556600</v>
      </c>
      <c r="F238">
        <v>906.05278148753098</v>
      </c>
      <c r="H238" t="s">
        <v>6</v>
      </c>
      <c r="I238">
        <v>222.75612099992938</v>
      </c>
      <c r="J238">
        <f>DTDRpat_result0[[#This Row],[gap of angle (rad)2]]*10000</f>
        <v>0.93168610425711251</v>
      </c>
      <c r="K238">
        <v>9.3168610425711253E-5</v>
      </c>
    </row>
    <row r="239" spans="1:11" x14ac:dyDescent="0.3">
      <c r="A239" t="s">
        <v>6</v>
      </c>
      <c r="B239">
        <v>222.75612099992901</v>
      </c>
      <c r="C239" s="4">
        <f t="shared" si="3"/>
        <v>1.0798948834648201</v>
      </c>
      <c r="D239">
        <v>1.07989488346482E-4</v>
      </c>
      <c r="E239">
        <v>3556600</v>
      </c>
      <c r="F239">
        <v>897.391900242764</v>
      </c>
      <c r="H239" t="s">
        <v>6</v>
      </c>
      <c r="I239">
        <v>222.75612099992938</v>
      </c>
      <c r="J239">
        <f>DTDRpat_result0[[#This Row],[gap of angle (rad)2]]*10000</f>
        <v>0.93168609234083488</v>
      </c>
      <c r="K239">
        <v>9.3168609234083483E-5</v>
      </c>
    </row>
    <row r="240" spans="1:11" x14ac:dyDescent="0.3">
      <c r="A240" t="s">
        <v>6</v>
      </c>
      <c r="B240">
        <v>224.641283999926</v>
      </c>
      <c r="C240" s="4">
        <f t="shared" si="3"/>
        <v>1.06924776092999</v>
      </c>
      <c r="D240">
        <v>1.06924776092999E-4</v>
      </c>
      <c r="E240">
        <v>3586700</v>
      </c>
      <c r="F240">
        <v>901.848850959061</v>
      </c>
      <c r="H240" t="s">
        <v>6</v>
      </c>
      <c r="I240">
        <v>224.64128399992694</v>
      </c>
      <c r="J240">
        <f>DTDRpat_result0[[#This Row],[gap of angle (rad)2]]*10000</f>
        <v>0.96018964281952834</v>
      </c>
      <c r="K240">
        <v>9.6018964281952831E-5</v>
      </c>
    </row>
    <row r="241" spans="1:11" x14ac:dyDescent="0.3">
      <c r="A241" t="s">
        <v>6</v>
      </c>
      <c r="B241">
        <v>224.641283999926</v>
      </c>
      <c r="C241" s="4">
        <f t="shared" si="3"/>
        <v>1.0902475096711</v>
      </c>
      <c r="D241">
        <v>1.0902475096710999E-4</v>
      </c>
      <c r="E241">
        <v>3586700</v>
      </c>
      <c r="F241">
        <v>893.12100117383204</v>
      </c>
      <c r="H241" t="s">
        <v>6</v>
      </c>
      <c r="I241">
        <v>224.64128399992694</v>
      </c>
      <c r="J241">
        <f>DTDRpat_result0[[#This Row],[gap of angle (rad)2]]*10000</f>
        <v>0.9601896312569892</v>
      </c>
      <c r="K241">
        <v>9.6018963125698919E-5</v>
      </c>
    </row>
    <row r="242" spans="1:11" x14ac:dyDescent="0.3">
      <c r="A242" t="s">
        <v>6</v>
      </c>
      <c r="B242">
        <v>226.53270999992401</v>
      </c>
      <c r="C242" s="4">
        <f t="shared" si="3"/>
        <v>1.07942141879669</v>
      </c>
      <c r="D242">
        <v>1.07942141879669E-4</v>
      </c>
      <c r="E242">
        <v>3616900</v>
      </c>
      <c r="F242">
        <v>897.58868599852406</v>
      </c>
      <c r="H242" t="s">
        <v>6</v>
      </c>
      <c r="I242">
        <v>226.53270999992452</v>
      </c>
      <c r="J242">
        <f>DTDRpat_result0[[#This Row],[gap of angle (rad)2]]*10000</f>
        <v>0.99062211356396668</v>
      </c>
      <c r="K242">
        <v>9.9062211356396666E-5</v>
      </c>
    </row>
    <row r="243" spans="1:11" x14ac:dyDescent="0.3">
      <c r="A243" t="s">
        <v>6</v>
      </c>
      <c r="B243">
        <v>226.53270999992401</v>
      </c>
      <c r="C243" s="4">
        <f t="shared" si="3"/>
        <v>1.1007973513911999</v>
      </c>
      <c r="D243">
        <v>1.1007973513912E-4</v>
      </c>
      <c r="E243">
        <v>3616900</v>
      </c>
      <c r="F243">
        <v>888.83092425215898</v>
      </c>
      <c r="H243" t="s">
        <v>6</v>
      </c>
      <c r="I243">
        <v>226.53270999992452</v>
      </c>
      <c r="J243">
        <f>DTDRpat_result0[[#This Row],[gap of angle (rad)2]]*10000</f>
        <v>0.99062207994197204</v>
      </c>
      <c r="K243">
        <v>9.9062207994197204E-5</v>
      </c>
    </row>
    <row r="244" spans="1:11" x14ac:dyDescent="0.3">
      <c r="A244" t="s">
        <v>6</v>
      </c>
      <c r="B244">
        <v>228.42413599992199</v>
      </c>
      <c r="C244" s="4">
        <f t="shared" si="3"/>
        <v>1.0898002625607199</v>
      </c>
      <c r="D244">
        <v>1.08980026256072E-4</v>
      </c>
      <c r="E244">
        <v>3647100</v>
      </c>
      <c r="F244">
        <v>893.30425449914401</v>
      </c>
      <c r="H244" t="s">
        <v>6</v>
      </c>
      <c r="I244">
        <v>228.42413599992207</v>
      </c>
      <c r="J244">
        <f>DTDRpat_result0[[#This Row],[gap of angle (rad)2]]*10000</f>
        <v>1.0229287815082921</v>
      </c>
      <c r="K244">
        <v>1.0229287815082922E-4</v>
      </c>
    </row>
    <row r="245" spans="1:11" x14ac:dyDescent="0.3">
      <c r="A245" t="s">
        <v>6</v>
      </c>
      <c r="B245">
        <v>228.42413599992199</v>
      </c>
      <c r="C245" s="4">
        <f t="shared" si="3"/>
        <v>1.11146658642798</v>
      </c>
      <c r="D245">
        <v>1.11146658642798E-4</v>
      </c>
      <c r="E245">
        <v>3647100</v>
      </c>
      <c r="F245">
        <v>884.55458659885903</v>
      </c>
      <c r="H245" t="s">
        <v>6</v>
      </c>
      <c r="I245">
        <v>228.42413599992207</v>
      </c>
      <c r="J245">
        <f>DTDRpat_result0[[#This Row],[gap of angle (rad)2]]*10000</f>
        <v>1.0229287923616677</v>
      </c>
      <c r="K245">
        <v>1.0229287923616677E-4</v>
      </c>
    </row>
    <row r="246" spans="1:11" x14ac:dyDescent="0.3">
      <c r="A246" t="s">
        <v>6</v>
      </c>
      <c r="B246">
        <v>230.30929899992199</v>
      </c>
      <c r="C246" s="4">
        <f t="shared" si="3"/>
        <v>1.1003088566547199</v>
      </c>
      <c r="D246">
        <v>1.1003088566547199E-4</v>
      </c>
      <c r="E246">
        <v>3677200</v>
      </c>
      <c r="F246">
        <v>889.02820540580103</v>
      </c>
      <c r="H246" t="s">
        <v>6</v>
      </c>
      <c r="I246">
        <v>230.30929899992211</v>
      </c>
      <c r="J246">
        <f>DTDRpat_result0[[#This Row],[gap of angle (rad)2]]*10000</f>
        <v>1.0570160203448355</v>
      </c>
      <c r="K246">
        <v>1.0570160203448355E-4</v>
      </c>
    </row>
    <row r="247" spans="1:11" x14ac:dyDescent="0.3">
      <c r="A247" t="s">
        <v>6</v>
      </c>
      <c r="B247">
        <v>230.30929899992199</v>
      </c>
      <c r="C247" s="4">
        <f t="shared" si="3"/>
        <v>1.12217276319305</v>
      </c>
      <c r="D247">
        <v>1.12217276319305E-4</v>
      </c>
      <c r="E247">
        <v>3677200</v>
      </c>
      <c r="F247">
        <v>880.32493461960496</v>
      </c>
      <c r="H247" t="s">
        <v>6</v>
      </c>
      <c r="I247">
        <v>230.30929899992211</v>
      </c>
      <c r="J247">
        <f>DTDRpat_result0[[#This Row],[gap of angle (rad)2]]*10000</f>
        <v>1.0570160203448355</v>
      </c>
      <c r="K247">
        <v>1.0570160203448355E-4</v>
      </c>
    </row>
    <row r="248" spans="1:11" x14ac:dyDescent="0.3">
      <c r="A248" t="s">
        <v>6</v>
      </c>
      <c r="B248">
        <v>232.19446199992299</v>
      </c>
      <c r="C248" s="4">
        <f t="shared" si="3"/>
        <v>1.1109381425730001</v>
      </c>
      <c r="D248">
        <v>1.110938142573E-4</v>
      </c>
      <c r="E248">
        <v>3707300</v>
      </c>
      <c r="F248">
        <v>884.76494186166894</v>
      </c>
      <c r="H248" t="s">
        <v>6</v>
      </c>
      <c r="I248">
        <v>232.19446199992382</v>
      </c>
      <c r="J248">
        <f>DTDRpat_result0[[#This Row],[gap of angle (rad)2]]*10000</f>
        <v>1.0929914893524231</v>
      </c>
      <c r="K248">
        <v>1.0929914893524231E-4</v>
      </c>
    </row>
    <row r="249" spans="1:11" x14ac:dyDescent="0.3">
      <c r="A249" t="s">
        <v>6</v>
      </c>
      <c r="B249">
        <v>232.19446199992299</v>
      </c>
      <c r="C249" s="4">
        <f t="shared" si="3"/>
        <v>1.1329014871003</v>
      </c>
      <c r="D249">
        <v>1.1329014871003E-4</v>
      </c>
      <c r="E249">
        <v>3707300</v>
      </c>
      <c r="F249">
        <v>876.146686278831</v>
      </c>
      <c r="H249" t="s">
        <v>6</v>
      </c>
      <c r="I249">
        <v>232.19446199992382</v>
      </c>
      <c r="J249">
        <f>DTDRpat_result0[[#This Row],[gap of angle (rad)2]]*10000</f>
        <v>1.0929914893524231</v>
      </c>
      <c r="K249">
        <v>1.0929914893524231E-4</v>
      </c>
    </row>
    <row r="250" spans="1:11" x14ac:dyDescent="0.3">
      <c r="A250" t="s">
        <v>6</v>
      </c>
      <c r="B250">
        <v>234.073361999925</v>
      </c>
      <c r="C250" s="4">
        <f t="shared" si="3"/>
        <v>1.1216062363839598</v>
      </c>
      <c r="D250">
        <v>1.1216062363839599E-4</v>
      </c>
      <c r="E250">
        <v>3737300</v>
      </c>
      <c r="F250">
        <v>880.54722321709698</v>
      </c>
      <c r="H250" t="s">
        <v>6</v>
      </c>
      <c r="I250">
        <v>234.07336199992565</v>
      </c>
      <c r="J250">
        <f>DTDRpat_result0[[#This Row],[gap of angle (rad)2]]*10000</f>
        <v>1.1307063273375095</v>
      </c>
      <c r="K250">
        <v>1.1307063273375096E-4</v>
      </c>
    </row>
    <row r="251" spans="1:11" x14ac:dyDescent="0.3">
      <c r="A251" t="s">
        <v>6</v>
      </c>
      <c r="B251">
        <v>234.073361999925</v>
      </c>
      <c r="C251" s="4">
        <f t="shared" si="3"/>
        <v>1.1435648965988601</v>
      </c>
      <c r="D251">
        <v>1.14356489659886E-4</v>
      </c>
      <c r="E251">
        <v>3737300</v>
      </c>
      <c r="F251">
        <v>872.05230563577595</v>
      </c>
      <c r="H251" t="s">
        <v>6</v>
      </c>
      <c r="I251">
        <v>234.07336199992565</v>
      </c>
      <c r="J251">
        <f>DTDRpat_result0[[#This Row],[gap of angle (rad)2]]*10000</f>
        <v>1.1307063371563546</v>
      </c>
      <c r="K251">
        <v>1.1307063371563546E-4</v>
      </c>
    </row>
    <row r="252" spans="1:11" x14ac:dyDescent="0.3">
      <c r="A252" t="s">
        <v>6</v>
      </c>
      <c r="B252">
        <v>235.96478799992701</v>
      </c>
      <c r="C252" s="4">
        <f t="shared" si="3"/>
        <v>1.13237071232891</v>
      </c>
      <c r="D252">
        <v>1.1323707123289101E-4</v>
      </c>
      <c r="E252">
        <v>3767500</v>
      </c>
      <c r="F252">
        <v>876.35199890830199</v>
      </c>
      <c r="H252" t="s">
        <v>6</v>
      </c>
      <c r="I252">
        <v>235.96478799992752</v>
      </c>
      <c r="J252">
        <f>DTDRpat_result0[[#This Row],[gap of angle (rad)2]]*10000</f>
        <v>1.1704969211234908</v>
      </c>
      <c r="K252">
        <v>1.1704969211234908E-4</v>
      </c>
    </row>
    <row r="253" spans="1:11" x14ac:dyDescent="0.3">
      <c r="A253" t="s">
        <v>6</v>
      </c>
      <c r="B253">
        <v>235.96478799992701</v>
      </c>
      <c r="C253" s="4">
        <f t="shared" si="3"/>
        <v>1.1542141670942601</v>
      </c>
      <c r="D253">
        <v>1.15421416709426E-4</v>
      </c>
      <c r="E253">
        <v>3767500</v>
      </c>
      <c r="F253">
        <v>868.02016755627199</v>
      </c>
      <c r="H253" t="s">
        <v>6</v>
      </c>
      <c r="I253">
        <v>235.96478799992752</v>
      </c>
      <c r="J253">
        <f>DTDRpat_result0[[#This Row],[gap of angle (rad)2]]*10000</f>
        <v>1.1704969116384334</v>
      </c>
      <c r="K253">
        <v>1.1704969116384335E-4</v>
      </c>
    </row>
    <row r="254" spans="1:11" x14ac:dyDescent="0.3">
      <c r="A254" t="s">
        <v>6</v>
      </c>
      <c r="B254">
        <v>237.84368799992899</v>
      </c>
      <c r="C254" s="4">
        <f t="shared" si="3"/>
        <v>1.14303686860345</v>
      </c>
      <c r="D254">
        <v>1.14303686860345E-4</v>
      </c>
      <c r="E254">
        <v>3797500</v>
      </c>
      <c r="F254">
        <v>872.25370485858002</v>
      </c>
      <c r="H254" t="s">
        <v>6</v>
      </c>
      <c r="I254">
        <v>237.84368799992936</v>
      </c>
      <c r="J254">
        <f>DTDRpat_result0[[#This Row],[gap of angle (rad)2]]*10000</f>
        <v>1.2117499044353892</v>
      </c>
      <c r="K254">
        <v>1.2117499044353893E-4</v>
      </c>
    </row>
    <row r="255" spans="1:11" x14ac:dyDescent="0.3">
      <c r="A255" t="s">
        <v>6</v>
      </c>
      <c r="B255">
        <v>237.84368799992899</v>
      </c>
      <c r="C255" s="4">
        <f t="shared" si="3"/>
        <v>1.1646507374906301</v>
      </c>
      <c r="D255">
        <v>1.16465073749063E-4</v>
      </c>
      <c r="E255">
        <v>3797500</v>
      </c>
      <c r="F255">
        <v>864.12235527177597</v>
      </c>
      <c r="H255" t="s">
        <v>6</v>
      </c>
      <c r="I255">
        <v>237.84368799992936</v>
      </c>
      <c r="J255">
        <f>DTDRpat_result0[[#This Row],[gap of angle (rad)2]]*10000</f>
        <v>1.2117499044353892</v>
      </c>
      <c r="K255">
        <v>1.2117499044353893E-4</v>
      </c>
    </row>
    <row r="256" spans="1:11" x14ac:dyDescent="0.3">
      <c r="A256" t="s">
        <v>6</v>
      </c>
      <c r="B256">
        <v>239.72885099993101</v>
      </c>
      <c r="C256" s="4">
        <f t="shared" si="3"/>
        <v>1.1536565999567501</v>
      </c>
      <c r="D256">
        <v>1.1536565999567501E-4</v>
      </c>
      <c r="E256">
        <v>3827600</v>
      </c>
      <c r="F256">
        <v>868.22989111420202</v>
      </c>
      <c r="H256" t="s">
        <v>6</v>
      </c>
      <c r="I256">
        <v>239.72885099993115</v>
      </c>
      <c r="J256">
        <f>DTDRpat_result0[[#This Row],[gap of angle (rad)2]]*10000</f>
        <v>1.2547387480521532</v>
      </c>
      <c r="K256">
        <v>1.2547387480521532E-4</v>
      </c>
    </row>
    <row r="257" spans="1:11" x14ac:dyDescent="0.3">
      <c r="A257" t="s">
        <v>6</v>
      </c>
      <c r="B257">
        <v>239.72885099993101</v>
      </c>
      <c r="C257" s="4">
        <f t="shared" si="3"/>
        <v>1.17492015303412</v>
      </c>
      <c r="D257">
        <v>1.17492015303412E-4</v>
      </c>
      <c r="E257">
        <v>3827600</v>
      </c>
      <c r="F257">
        <v>860.33783649196698</v>
      </c>
      <c r="H257" t="s">
        <v>6</v>
      </c>
      <c r="I257">
        <v>239.72885099993115</v>
      </c>
      <c r="J257">
        <f>DTDRpat_result0[[#This Row],[gap of angle (rad)2]]*10000</f>
        <v>1.2547387480521532</v>
      </c>
      <c r="K257">
        <v>1.2547387480521532E-4</v>
      </c>
    </row>
    <row r="258" spans="1:11" x14ac:dyDescent="0.3">
      <c r="A258" t="s">
        <v>6</v>
      </c>
      <c r="B258">
        <v>241.60775099993299</v>
      </c>
      <c r="C258" s="4">
        <f t="shared" si="3"/>
        <v>1.1641021747739801</v>
      </c>
      <c r="D258">
        <v>1.1641021747739801E-4</v>
      </c>
      <c r="E258">
        <v>3857600</v>
      </c>
      <c r="F258">
        <v>864.32592950486503</v>
      </c>
      <c r="H258" t="s">
        <v>6</v>
      </c>
      <c r="I258">
        <v>241.60775099993299</v>
      </c>
      <c r="J258">
        <f>DTDRpat_result0[[#This Row],[gap of angle (rad)2]]*10000</f>
        <v>1.2989965638476118</v>
      </c>
      <c r="K258">
        <v>1.2989965638476118E-4</v>
      </c>
    </row>
    <row r="259" spans="1:11" x14ac:dyDescent="0.3">
      <c r="A259" t="s">
        <v>6</v>
      </c>
      <c r="B259">
        <v>241.60775099993299</v>
      </c>
      <c r="C259" s="4">
        <f t="shared" ref="C259:C322" si="4">D259*10000</f>
        <v>1.1848930784179701</v>
      </c>
      <c r="D259">
        <v>1.18489307841797E-4</v>
      </c>
      <c r="E259">
        <v>3857600</v>
      </c>
      <c r="F259">
        <v>856.70979123522795</v>
      </c>
      <c r="H259" t="s">
        <v>6</v>
      </c>
      <c r="I259">
        <v>241.60775099993299</v>
      </c>
      <c r="J259">
        <f>DTDRpat_result0[[#This Row],[gap of angle (rad)2]]*10000</f>
        <v>1.2989965638476118</v>
      </c>
      <c r="K259">
        <v>1.2989965638476118E-4</v>
      </c>
    </row>
    <row r="260" spans="1:11" x14ac:dyDescent="0.3">
      <c r="A260" t="s">
        <v>6</v>
      </c>
      <c r="B260">
        <v>243.486650999934</v>
      </c>
      <c r="C260" s="4">
        <f t="shared" si="4"/>
        <v>1.1743500016316901</v>
      </c>
      <c r="D260">
        <v>1.17435000163169E-4</v>
      </c>
      <c r="E260">
        <v>3887600</v>
      </c>
      <c r="F260">
        <v>860.54664134857603</v>
      </c>
      <c r="H260" t="s">
        <v>6</v>
      </c>
      <c r="I260">
        <v>243.48665099993485</v>
      </c>
      <c r="J260">
        <f>DTDRpat_result0[[#This Row],[gap of angle (rad)2]]*10000</f>
        <v>1.3444239553719926</v>
      </c>
      <c r="K260">
        <v>1.3444239553719926E-4</v>
      </c>
    </row>
    <row r="261" spans="1:11" x14ac:dyDescent="0.3">
      <c r="A261" t="s">
        <v>6</v>
      </c>
      <c r="B261">
        <v>243.486650999934</v>
      </c>
      <c r="C261" s="4">
        <f t="shared" si="4"/>
        <v>1.19454210551597</v>
      </c>
      <c r="D261">
        <v>1.19454210551597E-4</v>
      </c>
      <c r="E261">
        <v>3887600</v>
      </c>
      <c r="F261">
        <v>853.24295686316896</v>
      </c>
      <c r="H261" t="s">
        <v>6</v>
      </c>
      <c r="I261">
        <v>243.48665099993485</v>
      </c>
      <c r="J261">
        <f>DTDRpat_result0[[#This Row],[gap of angle (rad)2]]*10000</f>
        <v>1.3444239636299757</v>
      </c>
      <c r="K261">
        <v>1.3444239636299757E-4</v>
      </c>
    </row>
    <row r="262" spans="1:11" x14ac:dyDescent="0.3">
      <c r="A262" t="s">
        <v>6</v>
      </c>
      <c r="B262">
        <v>245.37807699993601</v>
      </c>
      <c r="C262" s="4">
        <f t="shared" si="4"/>
        <v>1.18440493225351</v>
      </c>
      <c r="D262">
        <v>1.1844049322535099E-4</v>
      </c>
      <c r="E262">
        <v>3917800</v>
      </c>
      <c r="F262">
        <v>856.88630646581601</v>
      </c>
      <c r="H262" t="s">
        <v>6</v>
      </c>
      <c r="I262">
        <v>245.37807699993664</v>
      </c>
      <c r="J262">
        <f>DTDRpat_result0[[#This Row],[gap of angle (rad)2]]*10000</f>
        <v>1.3910257849856849</v>
      </c>
      <c r="K262">
        <v>1.3910257849856849E-4</v>
      </c>
    </row>
    <row r="263" spans="1:11" x14ac:dyDescent="0.3">
      <c r="A263" t="s">
        <v>6</v>
      </c>
      <c r="B263">
        <v>245.37807699993601</v>
      </c>
      <c r="C263" s="4">
        <f t="shared" si="4"/>
        <v>1.2038649980210501</v>
      </c>
      <c r="D263">
        <v>1.20386499802105E-4</v>
      </c>
      <c r="E263">
        <v>3917800</v>
      </c>
      <c r="F263">
        <v>849.93301211754897</v>
      </c>
      <c r="H263" t="s">
        <v>6</v>
      </c>
      <c r="I263">
        <v>245.37807699993664</v>
      </c>
      <c r="J263">
        <f>DTDRpat_result0[[#This Row],[gap of angle (rad)2]]*10000</f>
        <v>1.3910257849856849</v>
      </c>
      <c r="K263">
        <v>1.3910257849856849E-4</v>
      </c>
    </row>
    <row r="264" spans="1:11" x14ac:dyDescent="0.3">
      <c r="A264" t="s">
        <v>6</v>
      </c>
      <c r="B264">
        <v>247.269502999938</v>
      </c>
      <c r="C264" s="4">
        <f t="shared" si="4"/>
        <v>1.19413473937243</v>
      </c>
      <c r="D264">
        <v>1.19413473937243E-4</v>
      </c>
      <c r="E264">
        <v>3948000</v>
      </c>
      <c r="F264">
        <v>853.38846877157903</v>
      </c>
      <c r="H264" t="s">
        <v>6</v>
      </c>
      <c r="I264">
        <v>247.26950299993851</v>
      </c>
      <c r="J264">
        <f>DTDRpat_result0[[#This Row],[gap of angle (rad)2]]*10000</f>
        <v>1.4381168503325699</v>
      </c>
      <c r="K264">
        <v>1.4381168503325699E-4</v>
      </c>
    </row>
    <row r="265" spans="1:11" x14ac:dyDescent="0.3">
      <c r="A265" t="s">
        <v>6</v>
      </c>
      <c r="B265">
        <v>247.269502999938</v>
      </c>
      <c r="C265" s="4">
        <f t="shared" si="4"/>
        <v>1.21273259513851</v>
      </c>
      <c r="D265">
        <v>1.21273259513851E-4</v>
      </c>
      <c r="E265">
        <v>3948000</v>
      </c>
      <c r="F265">
        <v>846.82025103811895</v>
      </c>
      <c r="H265" t="s">
        <v>6</v>
      </c>
      <c r="I265">
        <v>247.26950299993851</v>
      </c>
      <c r="J265">
        <f>DTDRpat_result0[[#This Row],[gap of angle (rad)2]]*10000</f>
        <v>1.4381168426125921</v>
      </c>
      <c r="K265">
        <v>1.4381168426125921E-4</v>
      </c>
    </row>
    <row r="266" spans="1:11" x14ac:dyDescent="0.3">
      <c r="A266" t="s">
        <v>6</v>
      </c>
      <c r="B266">
        <v>249.15466599993999</v>
      </c>
      <c r="C266" s="4">
        <f t="shared" si="4"/>
        <v>1.2034454274951201</v>
      </c>
      <c r="D266">
        <v>1.20344542749512E-4</v>
      </c>
      <c r="E266">
        <v>3978100</v>
      </c>
      <c r="F266">
        <v>850.08113847909601</v>
      </c>
      <c r="H266" t="s">
        <v>6</v>
      </c>
      <c r="I266">
        <v>249.15466599994036</v>
      </c>
      <c r="J266">
        <f>DTDRpat_result0[[#This Row],[gap of angle (rad)2]]*10000</f>
        <v>1.4850773270753403</v>
      </c>
      <c r="K266">
        <v>1.4850773270753403E-4</v>
      </c>
    </row>
    <row r="267" spans="1:11" x14ac:dyDescent="0.3">
      <c r="A267" t="s">
        <v>6</v>
      </c>
      <c r="B267">
        <v>249.15466599993999</v>
      </c>
      <c r="C267" s="4">
        <f t="shared" si="4"/>
        <v>1.22105523132557</v>
      </c>
      <c r="D267">
        <v>1.2210552313255701E-4</v>
      </c>
      <c r="E267">
        <v>3978100</v>
      </c>
      <c r="F267">
        <v>843.929724839595</v>
      </c>
      <c r="H267" t="s">
        <v>6</v>
      </c>
      <c r="I267">
        <v>249.15466599994036</v>
      </c>
      <c r="J267">
        <f>DTDRpat_result0[[#This Row],[gap of angle (rad)2]]*10000</f>
        <v>1.4850773345512003</v>
      </c>
      <c r="K267">
        <v>1.4850773345512002E-4</v>
      </c>
    </row>
    <row r="268" spans="1:11" x14ac:dyDescent="0.3">
      <c r="A268" t="s">
        <v>6</v>
      </c>
      <c r="B268">
        <v>251.03982899994199</v>
      </c>
      <c r="C268" s="4">
        <f t="shared" si="4"/>
        <v>1.21230673422668</v>
      </c>
      <c r="D268">
        <v>1.21230673422668E-4</v>
      </c>
      <c r="E268">
        <v>4008200</v>
      </c>
      <c r="F268">
        <v>846.96894536532</v>
      </c>
      <c r="H268" t="s">
        <v>6</v>
      </c>
      <c r="I268">
        <v>251.03982899994216</v>
      </c>
      <c r="J268">
        <f>DTDRpat_result0[[#This Row],[gap of angle (rad)2]]*10000</f>
        <v>1.5315242338816728</v>
      </c>
      <c r="K268">
        <v>1.5315242338816729E-4</v>
      </c>
    </row>
    <row r="269" spans="1:11" x14ac:dyDescent="0.3">
      <c r="A269" t="s">
        <v>6</v>
      </c>
      <c r="B269">
        <v>251.03982899994199</v>
      </c>
      <c r="C269" s="4">
        <f t="shared" si="4"/>
        <v>1.2288024008932898</v>
      </c>
      <c r="D269">
        <v>1.2288024008932899E-4</v>
      </c>
      <c r="E269">
        <v>4008200</v>
      </c>
      <c r="F269">
        <v>841.26554650028902</v>
      </c>
      <c r="H269" t="s">
        <v>6</v>
      </c>
      <c r="I269">
        <v>251.03982899994216</v>
      </c>
      <c r="J269">
        <f>DTDRpat_result0[[#This Row],[gap of angle (rad)2]]*10000</f>
        <v>1.5315242483799487</v>
      </c>
      <c r="K269">
        <v>1.5315242483799488E-4</v>
      </c>
    </row>
    <row r="270" spans="1:11" x14ac:dyDescent="0.3">
      <c r="A270" t="s">
        <v>6</v>
      </c>
      <c r="B270">
        <v>252.931254999944</v>
      </c>
      <c r="C270" s="4">
        <f t="shared" si="4"/>
        <v>1.2206831167104402</v>
      </c>
      <c r="D270">
        <v>1.2206831167104401E-4</v>
      </c>
      <c r="E270">
        <v>4038400</v>
      </c>
      <c r="F270">
        <v>844.05831999446502</v>
      </c>
      <c r="H270" t="s">
        <v>6</v>
      </c>
      <c r="I270">
        <v>252.931254999944</v>
      </c>
      <c r="J270">
        <f>DTDRpat_result0[[#This Row],[gap of angle (rad)2]]*10000</f>
        <v>1.5769917212144358</v>
      </c>
      <c r="K270">
        <v>1.5769917212144359E-4</v>
      </c>
    </row>
    <row r="271" spans="1:11" x14ac:dyDescent="0.3">
      <c r="A271" t="s">
        <v>6</v>
      </c>
      <c r="B271">
        <v>252.931254999944</v>
      </c>
      <c r="C271" s="4">
        <f t="shared" si="4"/>
        <v>1.2359383498637899</v>
      </c>
      <c r="D271">
        <v>1.23593834986379E-4</v>
      </c>
      <c r="E271">
        <v>4038400</v>
      </c>
      <c r="F271">
        <v>838.833817878069</v>
      </c>
      <c r="H271" t="s">
        <v>6</v>
      </c>
      <c r="I271">
        <v>252.931254999944</v>
      </c>
      <c r="J271">
        <f>DTDRpat_result0[[#This Row],[gap of angle (rad)2]]*10000</f>
        <v>1.5769917352947003</v>
      </c>
      <c r="K271">
        <v>1.5769917352947003E-4</v>
      </c>
    </row>
    <row r="272" spans="1:11" x14ac:dyDescent="0.3">
      <c r="A272" t="s">
        <v>6</v>
      </c>
      <c r="B272">
        <v>254.82268099994499</v>
      </c>
      <c r="C272" s="4">
        <f t="shared" si="4"/>
        <v>1.2284829811459299</v>
      </c>
      <c r="D272">
        <v>1.2284829811459299E-4</v>
      </c>
      <c r="E272">
        <v>4068600</v>
      </c>
      <c r="F272">
        <v>841.37488421246599</v>
      </c>
      <c r="H272" t="s">
        <v>6</v>
      </c>
      <c r="I272">
        <v>254.82268099994587</v>
      </c>
      <c r="J272">
        <f>DTDRpat_result0[[#This Row],[gap of angle (rad)2]]*10000</f>
        <v>1.6206365785001111</v>
      </c>
      <c r="K272">
        <v>1.6206365785001112E-4</v>
      </c>
    </row>
    <row r="273" spans="1:11" x14ac:dyDescent="0.3">
      <c r="A273" t="s">
        <v>6</v>
      </c>
      <c r="B273">
        <v>254.82268099994499</v>
      </c>
      <c r="C273" s="4">
        <f t="shared" si="4"/>
        <v>1.2423807117966401</v>
      </c>
      <c r="D273">
        <v>1.2423807117966401E-4</v>
      </c>
      <c r="E273">
        <v>4068600</v>
      </c>
      <c r="F273">
        <v>836.65652186284296</v>
      </c>
      <c r="H273" t="s">
        <v>6</v>
      </c>
      <c r="I273">
        <v>254.82268099994587</v>
      </c>
      <c r="J273">
        <f>DTDRpat_result0[[#This Row],[gap of angle (rad)2]]*10000</f>
        <v>1.6206365647990377</v>
      </c>
      <c r="K273">
        <v>1.6206365647990377E-4</v>
      </c>
    </row>
    <row r="274" spans="1:11" x14ac:dyDescent="0.3">
      <c r="A274" t="s">
        <v>6</v>
      </c>
      <c r="B274">
        <v>256.71410699994601</v>
      </c>
      <c r="C274" s="4">
        <f t="shared" si="4"/>
        <v>1.2356473615829298</v>
      </c>
      <c r="D274">
        <v>1.2356473615829299E-4</v>
      </c>
      <c r="E274">
        <v>4098800</v>
      </c>
      <c r="F274">
        <v>838.93256398856897</v>
      </c>
      <c r="H274" t="s">
        <v>6</v>
      </c>
      <c r="I274">
        <v>256.71410699994607</v>
      </c>
      <c r="J274">
        <f>DTDRpat_result0[[#This Row],[gap of angle (rad)2]]*10000</f>
        <v>1.6617176292976377</v>
      </c>
      <c r="K274">
        <v>1.6617176292976378E-4</v>
      </c>
    </row>
    <row r="275" spans="1:11" x14ac:dyDescent="0.3">
      <c r="A275" t="s">
        <v>6</v>
      </c>
      <c r="B275">
        <v>256.71410699994601</v>
      </c>
      <c r="C275" s="4">
        <f t="shared" si="4"/>
        <v>1.2480780134209499</v>
      </c>
      <c r="D275">
        <v>1.24807801342095E-4</v>
      </c>
      <c r="E275">
        <v>4098800</v>
      </c>
      <c r="F275">
        <v>834.74517109880298</v>
      </c>
      <c r="H275" t="s">
        <v>6</v>
      </c>
      <c r="I275">
        <v>256.71410699994607</v>
      </c>
      <c r="J275">
        <f>DTDRpat_result0[[#This Row],[gap of angle (rad)2]]*10000</f>
        <v>1.6617176159352829</v>
      </c>
      <c r="K275">
        <v>1.6617176159352829E-4</v>
      </c>
    </row>
    <row r="276" spans="1:11" x14ac:dyDescent="0.3">
      <c r="A276" t="s">
        <v>6</v>
      </c>
      <c r="B276">
        <v>258.59926999994298</v>
      </c>
      <c r="C276" s="4">
        <f t="shared" si="4"/>
        <v>1.24210019790718</v>
      </c>
      <c r="D276">
        <v>1.2421001979071801E-4</v>
      </c>
      <c r="E276">
        <v>4128900</v>
      </c>
      <c r="F276">
        <v>836.75097081587899</v>
      </c>
      <c r="H276" t="s">
        <v>6</v>
      </c>
      <c r="I276">
        <v>258.59926999994366</v>
      </c>
      <c r="J276">
        <f>DTDRpat_result0[[#This Row],[gap of angle (rad)2]]*10000</f>
        <v>1.6993430525971984</v>
      </c>
      <c r="K276">
        <v>1.6993430525971985E-4</v>
      </c>
    </row>
    <row r="277" spans="1:11" x14ac:dyDescent="0.3">
      <c r="A277" t="s">
        <v>6</v>
      </c>
      <c r="B277">
        <v>258.59926999994298</v>
      </c>
      <c r="C277" s="4">
        <f t="shared" si="4"/>
        <v>1.2529687274608798</v>
      </c>
      <c r="D277">
        <v>1.2529687274608799E-4</v>
      </c>
      <c r="E277">
        <v>4128900</v>
      </c>
      <c r="F277">
        <v>833.114899595878</v>
      </c>
      <c r="H277" t="s">
        <v>6</v>
      </c>
      <c r="I277">
        <v>258.59926999994366</v>
      </c>
      <c r="J277">
        <f>DTDRpat_result0[[#This Row],[gap of angle (rad)2]]*10000</f>
        <v>1.6993430656636952</v>
      </c>
      <c r="K277">
        <v>1.6993430656636952E-4</v>
      </c>
    </row>
    <row r="278" spans="1:11" x14ac:dyDescent="0.3">
      <c r="A278" t="s">
        <v>6</v>
      </c>
      <c r="B278">
        <v>260.49069599994101</v>
      </c>
      <c r="C278" s="4">
        <f t="shared" si="4"/>
        <v>1.2478328660000402</v>
      </c>
      <c r="D278">
        <v>1.2478328660000401E-4</v>
      </c>
      <c r="E278">
        <v>4159100</v>
      </c>
      <c r="F278">
        <v>834.82714662160504</v>
      </c>
      <c r="H278" t="s">
        <v>6</v>
      </c>
      <c r="I278">
        <v>260.49069599994124</v>
      </c>
      <c r="J278">
        <f>DTDRpat_result0[[#This Row],[gap of angle (rad)2]]*10000</f>
        <v>1.7329873481881917</v>
      </c>
      <c r="K278">
        <v>1.7329873481881916E-4</v>
      </c>
    </row>
    <row r="279" spans="1:11" x14ac:dyDescent="0.3">
      <c r="A279" t="s">
        <v>6</v>
      </c>
      <c r="B279">
        <v>260.49069599994101</v>
      </c>
      <c r="C279" s="4">
        <f t="shared" si="4"/>
        <v>1.25704460436118</v>
      </c>
      <c r="D279">
        <v>1.25704460436118E-4</v>
      </c>
      <c r="E279">
        <v>4159100</v>
      </c>
      <c r="F279">
        <v>831.76362587577796</v>
      </c>
      <c r="H279" t="s">
        <v>6</v>
      </c>
      <c r="I279">
        <v>260.49069599994124</v>
      </c>
      <c r="J279">
        <f>DTDRpat_result0[[#This Row],[gap of angle (rad)2]]*10000</f>
        <v>1.7329873610010147</v>
      </c>
      <c r="K279">
        <v>1.7329873610010148E-4</v>
      </c>
    </row>
    <row r="280" spans="1:11" x14ac:dyDescent="0.3">
      <c r="A280" t="s">
        <v>6</v>
      </c>
      <c r="B280">
        <v>262.38212199993802</v>
      </c>
      <c r="C280" s="4">
        <f t="shared" si="4"/>
        <v>1.2527758497459101</v>
      </c>
      <c r="D280">
        <v>1.2527758497459101E-4</v>
      </c>
      <c r="E280">
        <v>4189300</v>
      </c>
      <c r="F280">
        <v>833.17901439760999</v>
      </c>
      <c r="H280" t="s">
        <v>6</v>
      </c>
      <c r="I280">
        <v>262.38212199993882</v>
      </c>
      <c r="J280">
        <f>DTDRpat_result0[[#This Row],[gap of angle (rad)2]]*10000</f>
        <v>1.7617704218368766</v>
      </c>
      <c r="K280">
        <v>1.7617704218368766E-4</v>
      </c>
    </row>
    <row r="281" spans="1:11" x14ac:dyDescent="0.3">
      <c r="A281" t="s">
        <v>6</v>
      </c>
      <c r="B281">
        <v>262.38212199993802</v>
      </c>
      <c r="C281" s="4">
        <f t="shared" si="4"/>
        <v>1.26025344380654</v>
      </c>
      <c r="D281">
        <v>1.26025344380654E-4</v>
      </c>
      <c r="E281">
        <v>4189300</v>
      </c>
      <c r="F281">
        <v>830.70451917023604</v>
      </c>
      <c r="H281" t="s">
        <v>6</v>
      </c>
      <c r="I281">
        <v>262.38212199993882</v>
      </c>
      <c r="J281">
        <f>DTDRpat_result0[[#This Row],[gap of angle (rad)2]]*10000</f>
        <v>1.7617704218368766</v>
      </c>
      <c r="K281">
        <v>1.7617704218368766E-4</v>
      </c>
    </row>
    <row r="282" spans="1:11" x14ac:dyDescent="0.3">
      <c r="A282" t="s">
        <v>6</v>
      </c>
      <c r="B282">
        <v>264.273547999936</v>
      </c>
      <c r="C282" s="4">
        <f t="shared" si="4"/>
        <v>1.2568880030726701</v>
      </c>
      <c r="D282">
        <v>1.2568880030726701E-4</v>
      </c>
      <c r="E282">
        <v>4219500</v>
      </c>
      <c r="F282">
        <v>831.81541352750003</v>
      </c>
      <c r="H282" t="s">
        <v>6</v>
      </c>
      <c r="I282">
        <v>264.27354799993634</v>
      </c>
      <c r="J282">
        <f>DTDRpat_result0[[#This Row],[gap of angle (rad)2]]*10000</f>
        <v>1.7850080990357458</v>
      </c>
      <c r="K282">
        <v>1.7850080990357457E-4</v>
      </c>
    </row>
    <row r="283" spans="1:11" x14ac:dyDescent="0.3">
      <c r="A283" t="s">
        <v>6</v>
      </c>
      <c r="B283">
        <v>264.273547999936</v>
      </c>
      <c r="C283" s="4">
        <f t="shared" si="4"/>
        <v>1.2625677561679001</v>
      </c>
      <c r="D283">
        <v>1.2625677561679E-4</v>
      </c>
      <c r="E283">
        <v>4219500</v>
      </c>
      <c r="F283">
        <v>829.94332023561003</v>
      </c>
      <c r="H283" t="s">
        <v>6</v>
      </c>
      <c r="I283">
        <v>264.27354799993634</v>
      </c>
      <c r="J283">
        <f>DTDRpat_result0[[#This Row],[gap of angle (rad)2]]*10000</f>
        <v>1.7850080990357458</v>
      </c>
      <c r="K283">
        <v>1.7850080990357457E-4</v>
      </c>
    </row>
    <row r="284" spans="1:11" x14ac:dyDescent="0.3">
      <c r="A284" t="s">
        <v>6</v>
      </c>
      <c r="B284">
        <v>266.15871099993302</v>
      </c>
      <c r="C284" s="4">
        <f t="shared" si="4"/>
        <v>1.2601252323129799</v>
      </c>
      <c r="D284">
        <v>1.26012523231298E-4</v>
      </c>
      <c r="E284">
        <v>4249600</v>
      </c>
      <c r="F284">
        <v>830.74675981207895</v>
      </c>
      <c r="H284" t="s">
        <v>6</v>
      </c>
      <c r="I284">
        <v>266.15871099993393</v>
      </c>
      <c r="J284">
        <f>DTDRpat_result0[[#This Row],[gap of angle (rad)2]]*10000</f>
        <v>1.8020721578262742</v>
      </c>
      <c r="K284">
        <v>1.8020721578262741E-4</v>
      </c>
    </row>
    <row r="285" spans="1:11" x14ac:dyDescent="0.3">
      <c r="A285" t="s">
        <v>6</v>
      </c>
      <c r="B285">
        <v>266.15871099993302</v>
      </c>
      <c r="C285" s="4">
        <f t="shared" si="4"/>
        <v>1.2639643300096002</v>
      </c>
      <c r="D285">
        <v>1.2639643300096001E-4</v>
      </c>
      <c r="E285">
        <v>4249600</v>
      </c>
      <c r="F285">
        <v>829.48518823899497</v>
      </c>
      <c r="H285" t="s">
        <v>6</v>
      </c>
      <c r="I285">
        <v>266.15871099993393</v>
      </c>
      <c r="J285">
        <f>DTDRpat_result0[[#This Row],[gap of angle (rad)2]]*10000</f>
        <v>1.8020721701479008</v>
      </c>
      <c r="K285">
        <v>1.8020721701479008E-4</v>
      </c>
    </row>
    <row r="286" spans="1:11" x14ac:dyDescent="0.3">
      <c r="A286" t="s">
        <v>6</v>
      </c>
      <c r="B286">
        <v>268.04387399993101</v>
      </c>
      <c r="C286" s="4">
        <f t="shared" si="4"/>
        <v>1.26247490351923</v>
      </c>
      <c r="D286">
        <v>1.2624749035192301E-4</v>
      </c>
      <c r="E286">
        <v>4279700</v>
      </c>
      <c r="F286">
        <v>829.97381721986096</v>
      </c>
      <c r="H286" t="s">
        <v>6</v>
      </c>
      <c r="I286">
        <v>268.04387399993152</v>
      </c>
      <c r="J286">
        <f>DTDRpat_result0[[#This Row],[gap of angle (rad)2]]*10000</f>
        <v>1.8126071955035841</v>
      </c>
      <c r="K286">
        <v>1.8126071955035841E-4</v>
      </c>
    </row>
    <row r="287" spans="1:11" x14ac:dyDescent="0.3">
      <c r="A287" t="s">
        <v>6</v>
      </c>
      <c r="B287">
        <v>268.04387399993101</v>
      </c>
      <c r="C287" s="4">
        <f t="shared" si="4"/>
        <v>1.2644401917196699</v>
      </c>
      <c r="D287">
        <v>1.2644401917196699E-4</v>
      </c>
      <c r="E287">
        <v>4279700</v>
      </c>
      <c r="F287">
        <v>829.32958962132</v>
      </c>
      <c r="H287" t="s">
        <v>6</v>
      </c>
      <c r="I287">
        <v>268.04387399993152</v>
      </c>
      <c r="J287">
        <f>DTDRpat_result0[[#This Row],[gap of angle (rad)2]]*10000</f>
        <v>1.8126071955035841</v>
      </c>
      <c r="K287">
        <v>1.8126071955035841E-4</v>
      </c>
    </row>
    <row r="288" spans="1:11" x14ac:dyDescent="0.3">
      <c r="A288" t="s">
        <v>6</v>
      </c>
      <c r="B288">
        <v>269.929036999929</v>
      </c>
      <c r="C288" s="4">
        <f t="shared" si="4"/>
        <v>1.2639167919590799</v>
      </c>
      <c r="D288">
        <v>1.2639167919590799E-4</v>
      </c>
      <c r="E288">
        <v>4309800</v>
      </c>
      <c r="F288">
        <v>829.50076169764395</v>
      </c>
      <c r="H288" t="s">
        <v>6</v>
      </c>
      <c r="I288">
        <v>269.92903699992911</v>
      </c>
      <c r="J288">
        <f>DTDRpat_result0[[#This Row],[gap of angle (rad)2]]*10000</f>
        <v>1.816333005081572</v>
      </c>
      <c r="K288">
        <v>1.816333005081572E-4</v>
      </c>
    </row>
    <row r="289" spans="1:11" x14ac:dyDescent="0.3">
      <c r="A289" t="s">
        <v>6</v>
      </c>
      <c r="B289">
        <v>269.929036999929</v>
      </c>
      <c r="C289" s="4">
        <f t="shared" si="4"/>
        <v>1.26399123406743</v>
      </c>
      <c r="D289">
        <v>1.2639912340674299E-4</v>
      </c>
      <c r="E289">
        <v>4309800</v>
      </c>
      <c r="F289">
        <v>829.47736811669495</v>
      </c>
      <c r="H289" t="s">
        <v>6</v>
      </c>
      <c r="I289">
        <v>269.92903699992911</v>
      </c>
      <c r="J289">
        <f>DTDRpat_result0[[#This Row],[gap of angle (rad)2]]*10000</f>
        <v>1.816333005081572</v>
      </c>
      <c r="K289">
        <v>1.816333005081572E-4</v>
      </c>
    </row>
    <row r="290" spans="1:11" x14ac:dyDescent="0.3">
      <c r="A290" t="s">
        <v>6</v>
      </c>
      <c r="B290">
        <v>271.81419999992602</v>
      </c>
      <c r="C290" s="4">
        <f t="shared" si="4"/>
        <v>1.2644384093069101</v>
      </c>
      <c r="D290">
        <v>1.26443840930691E-4</v>
      </c>
      <c r="E290">
        <v>4339900</v>
      </c>
      <c r="F290">
        <v>829.33015513504301</v>
      </c>
      <c r="H290" t="s">
        <v>6</v>
      </c>
      <c r="I290">
        <v>271.81419999992664</v>
      </c>
      <c r="J290">
        <f>DTDRpat_result0[[#This Row],[gap of angle (rad)2]]*10000</f>
        <v>1.8131491224153553</v>
      </c>
      <c r="K290">
        <v>1.8131491224153553E-4</v>
      </c>
    </row>
    <row r="291" spans="1:11" x14ac:dyDescent="0.3">
      <c r="A291" t="s">
        <v>6</v>
      </c>
      <c r="B291">
        <v>271.81419999992602</v>
      </c>
      <c r="C291" s="4">
        <f t="shared" si="4"/>
        <v>1.26262134185093</v>
      </c>
      <c r="D291">
        <v>1.26262134185093E-4</v>
      </c>
      <c r="E291">
        <v>4339900</v>
      </c>
      <c r="F291">
        <v>829.92772238357497</v>
      </c>
      <c r="H291" t="s">
        <v>6</v>
      </c>
      <c r="I291">
        <v>271.81419999992664</v>
      </c>
      <c r="J291">
        <f>DTDRpat_result0[[#This Row],[gap of angle (rad)2]]*10000</f>
        <v>1.8131491346617061</v>
      </c>
      <c r="K291">
        <v>1.8131491346617062E-4</v>
      </c>
    </row>
    <row r="292" spans="1:11" x14ac:dyDescent="0.3">
      <c r="A292" t="s">
        <v>6</v>
      </c>
      <c r="B292">
        <v>273.705625999924</v>
      </c>
      <c r="C292" s="4">
        <f t="shared" si="4"/>
        <v>1.2640323049102999</v>
      </c>
      <c r="D292">
        <v>1.2640323049102999E-4</v>
      </c>
      <c r="E292">
        <v>4370100</v>
      </c>
      <c r="F292">
        <v>829.46386897855302</v>
      </c>
      <c r="H292" t="s">
        <v>6</v>
      </c>
      <c r="I292">
        <v>273.70562599992422</v>
      </c>
      <c r="J292">
        <f>DTDRpat_result0[[#This Row],[gap of angle (rad)2]]*10000</f>
        <v>1.8030970873203727</v>
      </c>
      <c r="K292">
        <v>1.8030970873203728E-4</v>
      </c>
    </row>
    <row r="293" spans="1:11" x14ac:dyDescent="0.3">
      <c r="A293" t="s">
        <v>6</v>
      </c>
      <c r="B293">
        <v>273.705625999924</v>
      </c>
      <c r="C293" s="4">
        <f t="shared" si="4"/>
        <v>1.2603333084012298</v>
      </c>
      <c r="D293">
        <v>1.2603333084012299E-4</v>
      </c>
      <c r="E293">
        <v>4370100</v>
      </c>
      <c r="F293">
        <v>830.68120262377101</v>
      </c>
      <c r="H293" t="s">
        <v>6</v>
      </c>
      <c r="I293">
        <v>273.70562599992422</v>
      </c>
      <c r="J293">
        <f>DTDRpat_result0[[#This Row],[gap of angle (rad)2]]*10000</f>
        <v>1.8030970996349955</v>
      </c>
      <c r="K293">
        <v>1.8030970996349955E-4</v>
      </c>
    </row>
    <row r="294" spans="1:11" x14ac:dyDescent="0.3">
      <c r="A294" t="s">
        <v>6</v>
      </c>
      <c r="B294">
        <v>275.59078899992102</v>
      </c>
      <c r="C294" s="4">
        <f t="shared" si="4"/>
        <v>1.2627047319153102</v>
      </c>
      <c r="D294">
        <v>1.2627047319153101E-4</v>
      </c>
      <c r="E294">
        <v>4400200</v>
      </c>
      <c r="F294">
        <v>829.90029301238599</v>
      </c>
      <c r="H294" t="s">
        <v>6</v>
      </c>
      <c r="I294">
        <v>275.59078899992181</v>
      </c>
      <c r="J294">
        <f>DTDRpat_result0[[#This Row],[gap of angle (rad)2]]*10000</f>
        <v>1.7865110497708925</v>
      </c>
      <c r="K294">
        <v>1.7865110497708924E-4</v>
      </c>
    </row>
    <row r="295" spans="1:11" x14ac:dyDescent="0.3">
      <c r="A295" t="s">
        <v>6</v>
      </c>
      <c r="B295">
        <v>275.59078899992102</v>
      </c>
      <c r="C295" s="4">
        <f t="shared" si="4"/>
        <v>1.25716205577262</v>
      </c>
      <c r="D295">
        <v>1.25716205577262E-4</v>
      </c>
      <c r="E295">
        <v>4400200</v>
      </c>
      <c r="F295">
        <v>831.72874947160994</v>
      </c>
      <c r="H295" t="s">
        <v>6</v>
      </c>
      <c r="I295">
        <v>275.59078899992181</v>
      </c>
      <c r="J295">
        <f>DTDRpat_result0[[#This Row],[gap of angle (rad)2]]*10000</f>
        <v>1.7865110497708925</v>
      </c>
      <c r="K295">
        <v>1.7865110497708924E-4</v>
      </c>
    </row>
    <row r="296" spans="1:11" x14ac:dyDescent="0.3">
      <c r="A296" t="s">
        <v>6</v>
      </c>
      <c r="B296">
        <v>277.475951999919</v>
      </c>
      <c r="C296" s="4">
        <f t="shared" si="4"/>
        <v>1.26046740892933</v>
      </c>
      <c r="D296">
        <v>1.2604674089293299E-4</v>
      </c>
      <c r="E296">
        <v>4430300</v>
      </c>
      <c r="F296">
        <v>830.63700198942502</v>
      </c>
      <c r="H296" t="s">
        <v>6</v>
      </c>
      <c r="I296">
        <v>277.4759519999194</v>
      </c>
      <c r="J296">
        <f>DTDRpat_result0[[#This Row],[gap of angle (rad)2]]*10000</f>
        <v>1.7637995373536328</v>
      </c>
      <c r="K296">
        <v>1.7637995373536328E-4</v>
      </c>
    </row>
    <row r="297" spans="1:11" x14ac:dyDescent="0.3">
      <c r="A297" t="s">
        <v>6</v>
      </c>
      <c r="B297">
        <v>277.475951999919</v>
      </c>
      <c r="C297" s="4">
        <f t="shared" si="4"/>
        <v>1.2531285118600202</v>
      </c>
      <c r="D297">
        <v>1.2531285118600201E-4</v>
      </c>
      <c r="E297">
        <v>4430300</v>
      </c>
      <c r="F297">
        <v>833.06671993120699</v>
      </c>
      <c r="H297" t="s">
        <v>6</v>
      </c>
      <c r="I297">
        <v>277.4759519999194</v>
      </c>
      <c r="J297">
        <f>DTDRpat_result0[[#This Row],[gap of angle (rad)2]]*10000</f>
        <v>1.7637995247646396</v>
      </c>
      <c r="K297">
        <v>1.7637995247646397E-4</v>
      </c>
    </row>
    <row r="298" spans="1:11" x14ac:dyDescent="0.3">
      <c r="A298" t="s">
        <v>6</v>
      </c>
      <c r="B298">
        <v>279.36111499991603</v>
      </c>
      <c r="C298" s="4">
        <f t="shared" si="4"/>
        <v>1.2573395412246602</v>
      </c>
      <c r="D298">
        <v>1.2573395412246601E-4</v>
      </c>
      <c r="E298">
        <v>4460400</v>
      </c>
      <c r="F298">
        <v>831.67001431856204</v>
      </c>
      <c r="H298" t="s">
        <v>6</v>
      </c>
      <c r="I298">
        <v>279.36111499991694</v>
      </c>
      <c r="J298">
        <f>DTDRpat_result0[[#This Row],[gap of angle (rad)2]]*10000</f>
        <v>1.7355297959740144</v>
      </c>
      <c r="K298">
        <v>1.7355297959740143E-4</v>
      </c>
    </row>
    <row r="299" spans="1:11" x14ac:dyDescent="0.3">
      <c r="A299" t="s">
        <v>6</v>
      </c>
      <c r="B299">
        <v>279.36111499991603</v>
      </c>
      <c r="C299" s="4">
        <f t="shared" si="4"/>
        <v>1.24826671637729</v>
      </c>
      <c r="D299">
        <v>1.2482667163772899E-4</v>
      </c>
      <c r="E299">
        <v>4460400</v>
      </c>
      <c r="F299">
        <v>834.68794166262705</v>
      </c>
      <c r="H299" t="s">
        <v>6</v>
      </c>
      <c r="I299">
        <v>279.36111499991694</v>
      </c>
      <c r="J299">
        <f>DTDRpat_result0[[#This Row],[gap of angle (rad)2]]*10000</f>
        <v>1.7355297959740144</v>
      </c>
      <c r="K299">
        <v>1.7355297959740143E-4</v>
      </c>
    </row>
    <row r="300" spans="1:11" x14ac:dyDescent="0.3">
      <c r="A300" t="s">
        <v>6</v>
      </c>
      <c r="B300">
        <v>281.24627799991401</v>
      </c>
      <c r="C300" s="4">
        <f t="shared" si="4"/>
        <v>1.2533479540529799</v>
      </c>
      <c r="D300">
        <v>1.25334795405298E-4</v>
      </c>
      <c r="E300">
        <v>4490500</v>
      </c>
      <c r="F300">
        <v>832.99376595851902</v>
      </c>
      <c r="H300" t="s">
        <v>6</v>
      </c>
      <c r="I300">
        <v>281.24627799991453</v>
      </c>
      <c r="J300">
        <f>DTDRpat_result0[[#This Row],[gap of angle (rad)2]]*10000</f>
        <v>1.7023725047191312</v>
      </c>
      <c r="K300">
        <v>1.7023725047191312E-4</v>
      </c>
    </row>
    <row r="301" spans="1:11" x14ac:dyDescent="0.3">
      <c r="A301" t="s">
        <v>6</v>
      </c>
      <c r="B301">
        <v>281.24627799991401</v>
      </c>
      <c r="C301" s="4">
        <f t="shared" si="4"/>
        <v>1.2426168745581501</v>
      </c>
      <c r="D301">
        <v>1.2426168745581501E-4</v>
      </c>
      <c r="E301">
        <v>4490500</v>
      </c>
      <c r="F301">
        <v>836.58377291413501</v>
      </c>
      <c r="H301" t="s">
        <v>6</v>
      </c>
      <c r="I301">
        <v>281.24627799991453</v>
      </c>
      <c r="J301">
        <f>DTDRpat_result0[[#This Row],[gap of angle (rad)2]]*10000</f>
        <v>1.7023724916758867</v>
      </c>
      <c r="K301">
        <v>1.7023724916758866E-4</v>
      </c>
    </row>
    <row r="302" spans="1:11" x14ac:dyDescent="0.3">
      <c r="A302" t="s">
        <v>6</v>
      </c>
      <c r="B302">
        <v>283.13770399991199</v>
      </c>
      <c r="C302" s="4">
        <f t="shared" si="4"/>
        <v>1.2485088974793299</v>
      </c>
      <c r="D302">
        <v>1.2485088974793299E-4</v>
      </c>
      <c r="E302">
        <v>4520700</v>
      </c>
      <c r="F302">
        <v>834.60696276760598</v>
      </c>
      <c r="H302" t="s">
        <v>6</v>
      </c>
      <c r="I302">
        <v>283.13770399991211</v>
      </c>
      <c r="J302">
        <f>DTDRpat_result0[[#This Row],[gap of angle (rad)2]]*10000</f>
        <v>1.664935469243356</v>
      </c>
      <c r="K302">
        <v>1.6649354692433561E-4</v>
      </c>
    </row>
    <row r="303" spans="1:11" x14ac:dyDescent="0.3">
      <c r="A303" t="s">
        <v>6</v>
      </c>
      <c r="B303">
        <v>283.13770399991199</v>
      </c>
      <c r="C303" s="4">
        <f t="shared" si="4"/>
        <v>1.2362025786595299</v>
      </c>
      <c r="D303">
        <v>1.23620257865953E-4</v>
      </c>
      <c r="E303">
        <v>4520700</v>
      </c>
      <c r="F303">
        <v>838.75178166885701</v>
      </c>
      <c r="H303" t="s">
        <v>6</v>
      </c>
      <c r="I303">
        <v>283.13770399991211</v>
      </c>
      <c r="J303">
        <f>DTDRpat_result0[[#This Row],[gap of angle (rad)2]]*10000</f>
        <v>1.6649354559068266</v>
      </c>
      <c r="K303">
        <v>1.6649354559068267E-4</v>
      </c>
    </row>
    <row r="304" spans="1:11" x14ac:dyDescent="0.3">
      <c r="A304" t="s">
        <v>6</v>
      </c>
      <c r="B304">
        <v>285.01660399990902</v>
      </c>
      <c r="C304" s="4">
        <f t="shared" si="4"/>
        <v>1.2429143864668799</v>
      </c>
      <c r="D304">
        <v>1.2429143864668799E-4</v>
      </c>
      <c r="E304">
        <v>4550700</v>
      </c>
      <c r="F304">
        <v>836.48362280074798</v>
      </c>
      <c r="H304" t="s">
        <v>6</v>
      </c>
      <c r="I304">
        <v>285.01660399990971</v>
      </c>
      <c r="J304">
        <f>DTDRpat_result0[[#This Row],[gap of angle (rad)2]]*10000</f>
        <v>1.6243775861129921</v>
      </c>
      <c r="K304">
        <v>1.6243775861129922E-4</v>
      </c>
    </row>
    <row r="305" spans="1:11" x14ac:dyDescent="0.3">
      <c r="A305" t="s">
        <v>6</v>
      </c>
      <c r="B305">
        <v>285.01660399990902</v>
      </c>
      <c r="C305" s="4">
        <f t="shared" si="4"/>
        <v>1.2291418983473699</v>
      </c>
      <c r="D305">
        <v>1.22914189834737E-4</v>
      </c>
      <c r="E305">
        <v>4550700</v>
      </c>
      <c r="F305">
        <v>841.15779835431601</v>
      </c>
      <c r="H305" t="s">
        <v>6</v>
      </c>
      <c r="I305">
        <v>285.01660399990971</v>
      </c>
      <c r="J305">
        <f>DTDRpat_result0[[#This Row],[gap of angle (rad)2]]*10000</f>
        <v>1.6243775861129921</v>
      </c>
      <c r="K305">
        <v>1.6243775861129922E-4</v>
      </c>
    </row>
    <row r="306" spans="1:11" x14ac:dyDescent="0.3">
      <c r="A306" t="s">
        <v>6</v>
      </c>
      <c r="B306">
        <v>286.908029999907</v>
      </c>
      <c r="C306" s="4">
        <f t="shared" si="4"/>
        <v>1.2365357975434901</v>
      </c>
      <c r="D306">
        <v>1.2365357975434901E-4</v>
      </c>
      <c r="E306">
        <v>4580900</v>
      </c>
      <c r="F306">
        <v>838.63875087078497</v>
      </c>
      <c r="H306" t="s">
        <v>6</v>
      </c>
      <c r="I306">
        <v>286.90802999990723</v>
      </c>
      <c r="J306">
        <f>DTDRpat_result0[[#This Row],[gap of angle (rad)2]]*10000</f>
        <v>1.5809286123296598</v>
      </c>
      <c r="K306">
        <v>1.5809286123296597E-4</v>
      </c>
    </row>
    <row r="307" spans="1:11" x14ac:dyDescent="0.3">
      <c r="A307" t="s">
        <v>6</v>
      </c>
      <c r="B307">
        <v>286.908029999907</v>
      </c>
      <c r="C307" s="4">
        <f t="shared" si="4"/>
        <v>1.2213958095773201</v>
      </c>
      <c r="D307">
        <v>1.2213958095773201E-4</v>
      </c>
      <c r="E307">
        <v>4580900</v>
      </c>
      <c r="F307">
        <v>843.82127268739805</v>
      </c>
      <c r="H307" t="s">
        <v>6</v>
      </c>
      <c r="I307">
        <v>286.90802999990723</v>
      </c>
      <c r="J307">
        <f>DTDRpat_result0[[#This Row],[gap of angle (rad)2]]*10000</f>
        <v>1.5809285982844583</v>
      </c>
      <c r="K307">
        <v>1.5809285982844583E-4</v>
      </c>
    </row>
    <row r="308" spans="1:11" x14ac:dyDescent="0.3">
      <c r="A308" t="s">
        <v>6</v>
      </c>
      <c r="B308">
        <v>288.79319299990402</v>
      </c>
      <c r="C308" s="4">
        <f t="shared" si="4"/>
        <v>1.2294833970166901</v>
      </c>
      <c r="D308">
        <v>1.2294833970166901E-4</v>
      </c>
      <c r="E308">
        <v>4611000</v>
      </c>
      <c r="F308">
        <v>841.04094905669399</v>
      </c>
      <c r="H308" t="s">
        <v>6</v>
      </c>
      <c r="I308">
        <v>288.79319299990482</v>
      </c>
      <c r="J308">
        <f>DTDRpat_result0[[#This Row],[gap of angle (rad)2]]*10000</f>
        <v>1.5357459023052868</v>
      </c>
      <c r="K308">
        <v>1.5357459023052869E-4</v>
      </c>
    </row>
    <row r="309" spans="1:11" x14ac:dyDescent="0.3">
      <c r="A309" t="s">
        <v>6</v>
      </c>
      <c r="B309">
        <v>288.79319299990402</v>
      </c>
      <c r="C309" s="4">
        <f t="shared" si="4"/>
        <v>1.21309631264615</v>
      </c>
      <c r="D309">
        <v>1.21309631264615E-4</v>
      </c>
      <c r="E309">
        <v>4611000</v>
      </c>
      <c r="F309">
        <v>846.70322452527898</v>
      </c>
      <c r="H309" t="s">
        <v>6</v>
      </c>
      <c r="I309">
        <v>288.79319299990482</v>
      </c>
      <c r="J309">
        <f>DTDRpat_result0[[#This Row],[gap of angle (rad)2]]*10000</f>
        <v>1.5357458950760765</v>
      </c>
      <c r="K309">
        <v>1.5357458950760765E-4</v>
      </c>
    </row>
    <row r="310" spans="1:11" x14ac:dyDescent="0.3">
      <c r="A310" t="s">
        <v>6</v>
      </c>
      <c r="B310">
        <v>290.67835599990201</v>
      </c>
      <c r="C310" s="4">
        <f t="shared" si="4"/>
        <v>1.2217920601038899</v>
      </c>
      <c r="D310">
        <v>1.2217920601038899E-4</v>
      </c>
      <c r="E310">
        <v>4641100</v>
      </c>
      <c r="F310">
        <v>843.68440056471604</v>
      </c>
      <c r="H310" t="s">
        <v>6</v>
      </c>
      <c r="I310">
        <v>290.67835599990241</v>
      </c>
      <c r="J310">
        <f>DTDRpat_result0[[#This Row],[gap of angle (rad)2]]*10000</f>
        <v>1.48937588563096</v>
      </c>
      <c r="K310">
        <v>1.4893758856309599E-4</v>
      </c>
    </row>
    <row r="311" spans="1:11" x14ac:dyDescent="0.3">
      <c r="A311" t="s">
        <v>6</v>
      </c>
      <c r="B311">
        <v>290.67835599990201</v>
      </c>
      <c r="C311" s="4">
        <f t="shared" si="4"/>
        <v>1.2042794902244101</v>
      </c>
      <c r="D311">
        <v>1.20427949022441E-4</v>
      </c>
      <c r="E311">
        <v>4641100</v>
      </c>
      <c r="F311">
        <v>849.79736402158301</v>
      </c>
      <c r="H311" t="s">
        <v>6</v>
      </c>
      <c r="I311">
        <v>290.67835599990241</v>
      </c>
      <c r="J311">
        <f>DTDRpat_result0[[#This Row],[gap of angle (rad)2]]*10000</f>
        <v>1.4893758781766762</v>
      </c>
      <c r="K311">
        <v>1.4893758781766762E-4</v>
      </c>
    </row>
    <row r="312" spans="1:11" x14ac:dyDescent="0.3">
      <c r="A312" t="s">
        <v>6</v>
      </c>
      <c r="B312">
        <v>292.55725599990001</v>
      </c>
      <c r="C312" s="4">
        <f t="shared" si="4"/>
        <v>1.21354818974581</v>
      </c>
      <c r="D312">
        <v>1.21354818974581E-4</v>
      </c>
      <c r="E312">
        <v>4671100</v>
      </c>
      <c r="F312">
        <v>846.54556017012396</v>
      </c>
      <c r="H312" t="s">
        <v>6</v>
      </c>
      <c r="I312">
        <v>292.55725599990001</v>
      </c>
      <c r="J312">
        <f>DTDRpat_result0[[#This Row],[gap of angle (rad)2]]*10000</f>
        <v>1.4425952077469983</v>
      </c>
      <c r="K312">
        <v>1.4425952077469983E-4</v>
      </c>
    </row>
    <row r="313" spans="1:11" x14ac:dyDescent="0.3">
      <c r="A313" t="s">
        <v>6</v>
      </c>
      <c r="B313">
        <v>292.55725599990001</v>
      </c>
      <c r="C313" s="4">
        <f t="shared" si="4"/>
        <v>1.1950389407659399</v>
      </c>
      <c r="D313">
        <v>1.1950389407659399E-4</v>
      </c>
      <c r="E313">
        <v>4671100</v>
      </c>
      <c r="F313">
        <v>853.07682482286998</v>
      </c>
      <c r="H313" t="s">
        <v>6</v>
      </c>
      <c r="I313">
        <v>292.55725599990001</v>
      </c>
      <c r="J313">
        <f>DTDRpat_result0[[#This Row],[gap of angle (rad)2]]*10000</f>
        <v>1.4425952077469983</v>
      </c>
      <c r="K313">
        <v>1.4425952077469983E-4</v>
      </c>
    </row>
    <row r="314" spans="1:11" x14ac:dyDescent="0.3">
      <c r="A314" t="s">
        <v>6</v>
      </c>
      <c r="B314">
        <v>294.44868199989702</v>
      </c>
      <c r="C314" s="4">
        <f t="shared" si="4"/>
        <v>1.2047270992171599</v>
      </c>
      <c r="D314">
        <v>1.20472709921716E-4</v>
      </c>
      <c r="E314">
        <v>4701300</v>
      </c>
      <c r="F314">
        <v>849.63945684078703</v>
      </c>
      <c r="H314" t="s">
        <v>6</v>
      </c>
      <c r="I314">
        <v>294.44868199989753</v>
      </c>
      <c r="J314">
        <f>DTDRpat_result0[[#This Row],[gap of angle (rad)2]]*10000</f>
        <v>1.39548058802699</v>
      </c>
      <c r="K314">
        <v>1.3954805880269901E-4</v>
      </c>
    </row>
    <row r="315" spans="1:11" x14ac:dyDescent="0.3">
      <c r="A315" t="s">
        <v>6</v>
      </c>
      <c r="B315">
        <v>294.44868199989702</v>
      </c>
      <c r="C315" s="4">
        <f t="shared" si="4"/>
        <v>1.1853432875111101</v>
      </c>
      <c r="D315">
        <v>1.18534328751111E-4</v>
      </c>
      <c r="E315">
        <v>4701300</v>
      </c>
      <c r="F315">
        <v>856.55890261753495</v>
      </c>
      <c r="H315" t="s">
        <v>6</v>
      </c>
      <c r="I315">
        <v>294.44868199989753</v>
      </c>
      <c r="J315">
        <f>DTDRpat_result0[[#This Row],[gap of angle (rad)2]]*10000</f>
        <v>1.39548058802699</v>
      </c>
      <c r="K315">
        <v>1.3954805880269901E-4</v>
      </c>
    </row>
    <row r="316" spans="1:11" x14ac:dyDescent="0.3">
      <c r="A316" t="s">
        <v>6</v>
      </c>
      <c r="B316">
        <v>296.33384499989501</v>
      </c>
      <c r="C316" s="4">
        <f t="shared" si="4"/>
        <v>1.195476144346</v>
      </c>
      <c r="D316">
        <v>1.195476144346E-4</v>
      </c>
      <c r="E316">
        <v>4731400</v>
      </c>
      <c r="F316">
        <v>852.92080873526299</v>
      </c>
      <c r="H316" t="s">
        <v>6</v>
      </c>
      <c r="I316">
        <v>296.33384499989512</v>
      </c>
      <c r="J316">
        <f>DTDRpat_result0[[#This Row],[gap of angle (rad)2]]*10000</f>
        <v>1.3489678786136763</v>
      </c>
      <c r="K316">
        <v>1.3489678786136763E-4</v>
      </c>
    </row>
    <row r="317" spans="1:11" x14ac:dyDescent="0.3">
      <c r="A317" t="s">
        <v>6</v>
      </c>
      <c r="B317">
        <v>296.33384499989501</v>
      </c>
      <c r="C317" s="4">
        <f t="shared" si="4"/>
        <v>1.1753501614529001</v>
      </c>
      <c r="D317">
        <v>1.1753501614529E-4</v>
      </c>
      <c r="E317">
        <v>4731400</v>
      </c>
      <c r="F317">
        <v>860.19276638556801</v>
      </c>
      <c r="H317" t="s">
        <v>6</v>
      </c>
      <c r="I317">
        <v>296.33384499989512</v>
      </c>
      <c r="J317">
        <f>DTDRpat_result0[[#This Row],[gap of angle (rad)2]]*10000</f>
        <v>1.3489678786136763</v>
      </c>
      <c r="K317">
        <v>1.3489678786136763E-4</v>
      </c>
    </row>
    <row r="318" spans="1:11" x14ac:dyDescent="0.3">
      <c r="A318" t="s">
        <v>6</v>
      </c>
      <c r="B318">
        <v>298.21900799989203</v>
      </c>
      <c r="C318" s="4">
        <f t="shared" si="4"/>
        <v>1.1858298864638801</v>
      </c>
      <c r="D318">
        <v>1.1858298864638801E-4</v>
      </c>
      <c r="E318">
        <v>4761500</v>
      </c>
      <c r="F318">
        <v>856.38312747242298</v>
      </c>
      <c r="H318" t="s">
        <v>6</v>
      </c>
      <c r="I318">
        <v>298.21900799989271</v>
      </c>
      <c r="J318">
        <f>DTDRpat_result0[[#This Row],[gap of angle (rad)2]]*10000</f>
        <v>1.303290340910507</v>
      </c>
      <c r="K318">
        <v>1.3032903409105069E-4</v>
      </c>
    </row>
    <row r="319" spans="1:11" x14ac:dyDescent="0.3">
      <c r="A319" t="s">
        <v>6</v>
      </c>
      <c r="B319">
        <v>298.21900799989203</v>
      </c>
      <c r="C319" s="4">
        <f t="shared" si="4"/>
        <v>1.165090691938</v>
      </c>
      <c r="D319">
        <v>1.165090691938E-4</v>
      </c>
      <c r="E319">
        <v>4761500</v>
      </c>
      <c r="F319">
        <v>863.971971380441</v>
      </c>
      <c r="H319" t="s">
        <v>6</v>
      </c>
      <c r="I319">
        <v>298.21900799989271</v>
      </c>
      <c r="J319">
        <f>DTDRpat_result0[[#This Row],[gap of angle (rad)2]]*10000</f>
        <v>1.303290315354658</v>
      </c>
      <c r="K319">
        <v>1.303290315354658E-4</v>
      </c>
    </row>
    <row r="320" spans="1:11" x14ac:dyDescent="0.3">
      <c r="A320" t="s">
        <v>6</v>
      </c>
      <c r="B320">
        <v>300.10417099989002</v>
      </c>
      <c r="C320" s="4">
        <f t="shared" si="4"/>
        <v>1.1758515746706601</v>
      </c>
      <c r="D320">
        <v>1.17585157467066E-4</v>
      </c>
      <c r="E320">
        <v>4791600</v>
      </c>
      <c r="F320">
        <v>860.00933363477895</v>
      </c>
      <c r="H320" t="s">
        <v>6</v>
      </c>
      <c r="I320">
        <v>300.1041709998903</v>
      </c>
      <c r="J320">
        <f>DTDRpat_result0[[#This Row],[gap of angle (rad)2]]*10000</f>
        <v>1.2587636836028469</v>
      </c>
      <c r="K320">
        <v>1.2587636836028468E-4</v>
      </c>
    </row>
    <row r="321" spans="1:11" x14ac:dyDescent="0.3">
      <c r="A321" t="s">
        <v>6</v>
      </c>
      <c r="B321">
        <v>300.10417099989002</v>
      </c>
      <c r="C321" s="4">
        <f t="shared" si="4"/>
        <v>1.1546264061254701</v>
      </c>
      <c r="D321">
        <v>1.15462640612547E-4</v>
      </c>
      <c r="E321">
        <v>4791600</v>
      </c>
      <c r="F321">
        <v>867.87836938171995</v>
      </c>
      <c r="H321" t="s">
        <v>6</v>
      </c>
      <c r="I321">
        <v>300.1041709998903</v>
      </c>
      <c r="J321">
        <f>DTDRpat_result0[[#This Row],[gap of angle (rad)2]]*10000</f>
        <v>1.2587636836028469</v>
      </c>
      <c r="K321">
        <v>1.2587636836028468E-4</v>
      </c>
    </row>
    <row r="322" spans="1:11" x14ac:dyDescent="0.3">
      <c r="A322" t="s">
        <v>6</v>
      </c>
      <c r="B322">
        <v>301.99559699988703</v>
      </c>
      <c r="C322" s="4">
        <f t="shared" si="4"/>
        <v>1.1655694007520401</v>
      </c>
      <c r="D322">
        <v>1.16556940075204E-4</v>
      </c>
      <c r="E322">
        <v>4821800</v>
      </c>
      <c r="F322">
        <v>863.794524831339</v>
      </c>
      <c r="H322" t="s">
        <v>6</v>
      </c>
      <c r="I322">
        <v>301.99559699988788</v>
      </c>
      <c r="J322">
        <f>DTDRpat_result0[[#This Row],[gap of angle (rad)2]]*10000</f>
        <v>1.2154952913692396</v>
      </c>
      <c r="K322">
        <v>1.2154952913692396E-4</v>
      </c>
    </row>
    <row r="323" spans="1:11" x14ac:dyDescent="0.3">
      <c r="A323" t="s">
        <v>6</v>
      </c>
      <c r="B323">
        <v>301.99559699988703</v>
      </c>
      <c r="C323" s="4">
        <f t="shared" ref="C323:C383" si="5">D323*10000</f>
        <v>1.1439816524955599</v>
      </c>
      <c r="D323">
        <v>1.1439816524955599E-4</v>
      </c>
      <c r="E323">
        <v>4821800</v>
      </c>
      <c r="F323">
        <v>871.90695665383396</v>
      </c>
      <c r="H323" t="s">
        <v>6</v>
      </c>
      <c r="I323">
        <v>301.99559699988788</v>
      </c>
      <c r="J323">
        <f>DTDRpat_result0[[#This Row],[gap of angle (rad)2]]*10000</f>
        <v>1.2154952913692396</v>
      </c>
      <c r="K323">
        <v>1.2154952913692396E-4</v>
      </c>
    </row>
    <row r="324" spans="1:11" x14ac:dyDescent="0.3">
      <c r="A324" t="s">
        <v>6</v>
      </c>
      <c r="B324">
        <v>303.887022999885</v>
      </c>
      <c r="C324" s="4">
        <f t="shared" si="5"/>
        <v>1.15507820451684</v>
      </c>
      <c r="D324">
        <v>1.15507820451684E-4</v>
      </c>
      <c r="E324">
        <v>4852000</v>
      </c>
      <c r="F324">
        <v>867.70860764129702</v>
      </c>
      <c r="H324" t="s">
        <v>6</v>
      </c>
      <c r="I324">
        <v>303.8870229998854</v>
      </c>
      <c r="J324">
        <f>DTDRpat_result0[[#This Row],[gap of angle (rad)2]]*10000</f>
        <v>1.1738246328600492</v>
      </c>
      <c r="K324">
        <v>1.1738246328600493E-4</v>
      </c>
    </row>
    <row r="325" spans="1:11" x14ac:dyDescent="0.3">
      <c r="A325" t="s">
        <v>6</v>
      </c>
      <c r="B325">
        <v>303.887022999885</v>
      </c>
      <c r="C325" s="4">
        <f t="shared" si="5"/>
        <v>1.1332492293306999</v>
      </c>
      <c r="D325">
        <v>1.1332492293307E-4</v>
      </c>
      <c r="E325">
        <v>4852000</v>
      </c>
      <c r="F325">
        <v>876.02601609251894</v>
      </c>
      <c r="H325" t="s">
        <v>6</v>
      </c>
      <c r="I325">
        <v>303.8870229998854</v>
      </c>
      <c r="J325">
        <f>DTDRpat_result0[[#This Row],[gap of angle (rad)2]]*10000</f>
        <v>1.1738246139437138</v>
      </c>
      <c r="K325">
        <v>1.1738246139437138E-4</v>
      </c>
    </row>
    <row r="326" spans="1:11" x14ac:dyDescent="0.3">
      <c r="A326" t="s">
        <v>6</v>
      </c>
      <c r="B326">
        <v>305.77844899988298</v>
      </c>
      <c r="C326" s="4">
        <f t="shared" si="5"/>
        <v>1.14443850689611</v>
      </c>
      <c r="D326">
        <v>1.14443850689611E-4</v>
      </c>
      <c r="E326">
        <v>4882200</v>
      </c>
      <c r="F326">
        <v>871.73290757124005</v>
      </c>
      <c r="H326" t="s">
        <v>6</v>
      </c>
      <c r="I326">
        <v>305.77844899988298</v>
      </c>
      <c r="J326">
        <f>DTDRpat_result0[[#This Row],[gap of angle (rad)2]]*10000</f>
        <v>1.1338878995079118</v>
      </c>
      <c r="K326">
        <v>1.1338878995079117E-4</v>
      </c>
    </row>
    <row r="327" spans="1:11" x14ac:dyDescent="0.3">
      <c r="A327" t="s">
        <v>6</v>
      </c>
      <c r="B327">
        <v>305.77844899988298</v>
      </c>
      <c r="C327" s="4">
        <f t="shared" si="5"/>
        <v>1.12248500847417</v>
      </c>
      <c r="D327">
        <v>1.1224850084741701E-4</v>
      </c>
      <c r="E327">
        <v>4882200</v>
      </c>
      <c r="F327">
        <v>880.21645649925199</v>
      </c>
      <c r="H327" t="s">
        <v>6</v>
      </c>
      <c r="I327">
        <v>305.77844899988298</v>
      </c>
      <c r="J327">
        <f>DTDRpat_result0[[#This Row],[gap of angle (rad)2]]*10000</f>
        <v>1.1338878799253227</v>
      </c>
      <c r="K327">
        <v>1.1338878799253226E-4</v>
      </c>
    </row>
    <row r="328" spans="1:11" x14ac:dyDescent="0.3">
      <c r="A328" t="s">
        <v>6</v>
      </c>
      <c r="B328">
        <v>307.66987499987999</v>
      </c>
      <c r="C328" s="4">
        <f t="shared" si="5"/>
        <v>1.1337086850746301</v>
      </c>
      <c r="D328">
        <v>1.13370868507463E-4</v>
      </c>
      <c r="E328">
        <v>4912400</v>
      </c>
      <c r="F328">
        <v>875.84849243660096</v>
      </c>
      <c r="H328" t="s">
        <v>6</v>
      </c>
      <c r="I328">
        <v>307.66987499988056</v>
      </c>
      <c r="J328">
        <f>DTDRpat_result0[[#This Row],[gap of angle (rad)2]]*10000</f>
        <v>1.0957759546997794</v>
      </c>
      <c r="K328">
        <v>1.0957759546997793E-4</v>
      </c>
    </row>
    <row r="329" spans="1:11" x14ac:dyDescent="0.3">
      <c r="A329" t="s">
        <v>6</v>
      </c>
      <c r="B329">
        <v>307.66987499987999</v>
      </c>
      <c r="C329" s="4">
        <f t="shared" si="5"/>
        <v>1.1117420037714101</v>
      </c>
      <c r="D329">
        <v>1.11174200377141E-4</v>
      </c>
      <c r="E329">
        <v>4912400</v>
      </c>
      <c r="F329">
        <v>884.45913457806</v>
      </c>
      <c r="H329" t="s">
        <v>6</v>
      </c>
      <c r="I329">
        <v>307.66987499988056</v>
      </c>
      <c r="J329">
        <f>DTDRpat_result0[[#This Row],[gap of angle (rad)2]]*10000</f>
        <v>1.0957759648316225</v>
      </c>
      <c r="K329">
        <v>1.0957759648316226E-4</v>
      </c>
    </row>
    <row r="330" spans="1:11" x14ac:dyDescent="0.3">
      <c r="A330" t="s">
        <v>6</v>
      </c>
      <c r="B330">
        <v>309.55503799987798</v>
      </c>
      <c r="C330" s="4">
        <f t="shared" si="5"/>
        <v>1.12298032737785</v>
      </c>
      <c r="D330">
        <v>1.12298032737785E-4</v>
      </c>
      <c r="E330">
        <v>4942500</v>
      </c>
      <c r="F330">
        <v>880.02231047274995</v>
      </c>
      <c r="H330" t="s">
        <v>6</v>
      </c>
      <c r="I330">
        <v>309.55503799987815</v>
      </c>
      <c r="J330">
        <f>DTDRpat_result0[[#This Row],[gap of angle (rad)2]]*10000</f>
        <v>1.059658809522684</v>
      </c>
      <c r="K330">
        <v>1.059658809522684E-4</v>
      </c>
    </row>
    <row r="331" spans="1:11" x14ac:dyDescent="0.3">
      <c r="A331" t="s">
        <v>6</v>
      </c>
      <c r="B331">
        <v>309.55503799987798</v>
      </c>
      <c r="C331" s="4">
        <f t="shared" si="5"/>
        <v>1.1011054745670801</v>
      </c>
      <c r="D331">
        <v>1.1011054745670801E-4</v>
      </c>
      <c r="E331">
        <v>4942500</v>
      </c>
      <c r="F331">
        <v>888.72075597445996</v>
      </c>
      <c r="H331" t="s">
        <v>6</v>
      </c>
      <c r="I331">
        <v>309.55503799987815</v>
      </c>
      <c r="J331">
        <f>DTDRpat_result0[[#This Row],[gap of angle (rad)2]]*10000</f>
        <v>1.0596588409542071</v>
      </c>
      <c r="K331">
        <v>1.0596588409542071E-4</v>
      </c>
    </row>
    <row r="332" spans="1:11" x14ac:dyDescent="0.3">
      <c r="A332" t="s">
        <v>6</v>
      </c>
      <c r="B332">
        <v>311.440200999875</v>
      </c>
      <c r="C332" s="4">
        <f t="shared" si="5"/>
        <v>1.11227069454922</v>
      </c>
      <c r="D332">
        <v>1.11227069454922E-4</v>
      </c>
      <c r="E332">
        <v>4972600</v>
      </c>
      <c r="F332">
        <v>884.24889577121905</v>
      </c>
      <c r="H332" t="s">
        <v>6</v>
      </c>
      <c r="I332">
        <v>311.44020099987569</v>
      </c>
      <c r="J332">
        <f>DTDRpat_result0[[#This Row],[gap of angle (rad)2]]*10000</f>
        <v>1.0254293059797839</v>
      </c>
      <c r="K332">
        <v>1.0254293059797838E-4</v>
      </c>
    </row>
    <row r="333" spans="1:11" x14ac:dyDescent="0.3">
      <c r="A333" t="s">
        <v>6</v>
      </c>
      <c r="B333">
        <v>311.440200999875</v>
      </c>
      <c r="C333" s="4">
        <f t="shared" si="5"/>
        <v>1.0905862222367901</v>
      </c>
      <c r="D333">
        <v>1.0905862222367901E-4</v>
      </c>
      <c r="E333">
        <v>4972600</v>
      </c>
      <c r="F333">
        <v>892.996507730997</v>
      </c>
      <c r="H333" t="s">
        <v>6</v>
      </c>
      <c r="I333">
        <v>311.44020099987569</v>
      </c>
      <c r="J333">
        <f>DTDRpat_result0[[#This Row],[gap of angle (rad)2]]*10000</f>
        <v>1.0254293059797839</v>
      </c>
      <c r="K333">
        <v>1.0254293059797838E-4</v>
      </c>
    </row>
    <row r="334" spans="1:11" x14ac:dyDescent="0.3">
      <c r="A334" t="s">
        <v>6</v>
      </c>
      <c r="B334">
        <v>313.32536399987299</v>
      </c>
      <c r="C334" s="4">
        <f t="shared" si="5"/>
        <v>1.1016295245732799</v>
      </c>
      <c r="D334">
        <v>1.1016295245732799E-4</v>
      </c>
      <c r="E334">
        <v>5002700</v>
      </c>
      <c r="F334">
        <v>888.50933119512297</v>
      </c>
      <c r="H334" t="s">
        <v>6</v>
      </c>
      <c r="I334">
        <v>313.32536399987328</v>
      </c>
      <c r="J334">
        <f>DTDRpat_result0[[#This Row],[gap of angle (rad)2]]*10000</f>
        <v>0.9930852022925355</v>
      </c>
      <c r="K334">
        <v>9.9308520229253548E-5</v>
      </c>
    </row>
    <row r="335" spans="1:11" x14ac:dyDescent="0.3">
      <c r="A335" t="s">
        <v>6</v>
      </c>
      <c r="B335">
        <v>313.32536399987299</v>
      </c>
      <c r="C335" s="4">
        <f t="shared" si="5"/>
        <v>1.0802276847719601</v>
      </c>
      <c r="D335">
        <v>1.08022768477196E-4</v>
      </c>
      <c r="E335">
        <v>5002700</v>
      </c>
      <c r="F335">
        <v>897.26781186349899</v>
      </c>
      <c r="H335" t="s">
        <v>6</v>
      </c>
      <c r="I335">
        <v>313.32536399987328</v>
      </c>
      <c r="J335">
        <f>DTDRpat_result0[[#This Row],[gap of angle (rad)2]]*10000</f>
        <v>0.99308519111300098</v>
      </c>
      <c r="K335">
        <v>9.9308519111300094E-5</v>
      </c>
    </row>
    <row r="336" spans="1:11" x14ac:dyDescent="0.3">
      <c r="A336" t="s">
        <v>6</v>
      </c>
      <c r="B336">
        <v>315.21052699987001</v>
      </c>
      <c r="C336" s="4">
        <f t="shared" si="5"/>
        <v>1.0911034602738798</v>
      </c>
      <c r="D336">
        <v>1.0911034602738799E-4</v>
      </c>
      <c r="E336">
        <v>5032800</v>
      </c>
      <c r="F336">
        <v>892.78482258187296</v>
      </c>
      <c r="H336" t="s">
        <v>6</v>
      </c>
      <c r="I336">
        <v>315.21052699987086</v>
      </c>
      <c r="J336">
        <f>DTDRpat_result0[[#This Row],[gap of angle (rad)2]]*10000</f>
        <v>0.96260526771638366</v>
      </c>
      <c r="K336">
        <v>9.6260526771638371E-5</v>
      </c>
    </row>
    <row r="337" spans="1:11" x14ac:dyDescent="0.3">
      <c r="A337" t="s">
        <v>6</v>
      </c>
      <c r="B337">
        <v>315.21052699987001</v>
      </c>
      <c r="C337" s="4">
        <f t="shared" si="5"/>
        <v>1.07006992013685</v>
      </c>
      <c r="D337">
        <v>1.0700699201368499E-4</v>
      </c>
      <c r="E337">
        <v>5032800</v>
      </c>
      <c r="F337">
        <v>901.51637358509504</v>
      </c>
      <c r="H337" t="s">
        <v>6</v>
      </c>
      <c r="I337">
        <v>315.21052699987086</v>
      </c>
      <c r="J337">
        <f>DTDRpat_result0[[#This Row],[gap of angle (rad)2]]*10000</f>
        <v>0.96260526771638366</v>
      </c>
      <c r="K337">
        <v>9.6260526771638371E-5</v>
      </c>
    </row>
    <row r="338" spans="1:11" x14ac:dyDescent="0.3">
      <c r="A338" t="s">
        <v>6</v>
      </c>
      <c r="B338">
        <v>317.10195299986799</v>
      </c>
      <c r="C338" s="4">
        <f t="shared" si="5"/>
        <v>1.0807018440713501</v>
      </c>
      <c r="D338">
        <v>1.08070184407135E-4</v>
      </c>
      <c r="E338">
        <v>5063000</v>
      </c>
      <c r="F338">
        <v>897.070946029433</v>
      </c>
      <c r="H338" t="s">
        <v>6</v>
      </c>
      <c r="I338">
        <v>317.10195299986844</v>
      </c>
      <c r="J338">
        <f>DTDRpat_result0[[#This Row],[gap of angle (rad)2]]*10000</f>
        <v>0.93386165719226399</v>
      </c>
      <c r="K338">
        <v>9.3386165719226404E-5</v>
      </c>
    </row>
    <row r="339" spans="1:11" x14ac:dyDescent="0.3">
      <c r="A339" t="s">
        <v>6</v>
      </c>
      <c r="B339">
        <v>317.10195299986799</v>
      </c>
      <c r="C339" s="4">
        <f t="shared" si="5"/>
        <v>1.0601174114623599</v>
      </c>
      <c r="D339">
        <v>1.06011741146236E-4</v>
      </c>
      <c r="E339">
        <v>5063000</v>
      </c>
      <c r="F339">
        <v>905.73814323170302</v>
      </c>
      <c r="H339" t="s">
        <v>6</v>
      </c>
      <c r="I339">
        <v>317.10195299986844</v>
      </c>
      <c r="J339">
        <f>DTDRpat_result0[[#This Row],[gap of angle (rad)2]]*10000</f>
        <v>0.93386164530374693</v>
      </c>
      <c r="K339">
        <v>9.3386164530374693E-5</v>
      </c>
    </row>
    <row r="340" spans="1:11" x14ac:dyDescent="0.3">
      <c r="A340" t="s">
        <v>6</v>
      </c>
      <c r="B340">
        <v>318.98711599986598</v>
      </c>
      <c r="C340" s="4">
        <f t="shared" si="5"/>
        <v>1.07053399728433</v>
      </c>
      <c r="D340">
        <v>1.07053399728433E-4</v>
      </c>
      <c r="E340">
        <v>5093100</v>
      </c>
      <c r="F340">
        <v>901.32095594663201</v>
      </c>
      <c r="H340" t="s">
        <v>6</v>
      </c>
      <c r="I340">
        <v>318.98711599986598</v>
      </c>
      <c r="J340">
        <f>DTDRpat_result0[[#This Row],[gap of angle (rad)2]]*10000</f>
        <v>0.90699833193220736</v>
      </c>
      <c r="K340">
        <v>9.0699833193220737E-5</v>
      </c>
    </row>
    <row r="341" spans="1:11" x14ac:dyDescent="0.3">
      <c r="A341" t="s">
        <v>6</v>
      </c>
      <c r="B341">
        <v>318.98711599986598</v>
      </c>
      <c r="C341" s="4">
        <f t="shared" si="5"/>
        <v>1.0504700282944899</v>
      </c>
      <c r="D341">
        <v>1.05047002829449E-4</v>
      </c>
      <c r="E341">
        <v>5093100</v>
      </c>
      <c r="F341">
        <v>909.88758952381397</v>
      </c>
      <c r="H341" t="s">
        <v>6</v>
      </c>
      <c r="I341">
        <v>318.98711599986598</v>
      </c>
      <c r="J341">
        <f>DTDRpat_result0[[#This Row],[gap of angle (rad)2]]*10000</f>
        <v>0.90699835641346549</v>
      </c>
      <c r="K341">
        <v>9.0699835641346545E-5</v>
      </c>
    </row>
    <row r="342" spans="1:11" x14ac:dyDescent="0.3">
      <c r="A342" t="s">
        <v>6</v>
      </c>
      <c r="B342">
        <v>320.872278999863</v>
      </c>
      <c r="C342" s="4">
        <f t="shared" si="5"/>
        <v>1.06060225722917</v>
      </c>
      <c r="D342">
        <v>1.06060225722917E-4</v>
      </c>
      <c r="E342">
        <v>5123200</v>
      </c>
      <c r="F342">
        <v>905.53110131936103</v>
      </c>
      <c r="H342" t="s">
        <v>6</v>
      </c>
      <c r="I342">
        <v>320.87227899986357</v>
      </c>
      <c r="J342">
        <f>DTDRpat_result0[[#This Row],[gap of angle (rad)2]]*10000</f>
        <v>0.88186348559443895</v>
      </c>
      <c r="K342">
        <v>8.8186348559443894E-5</v>
      </c>
    </row>
    <row r="343" spans="1:11" x14ac:dyDescent="0.3">
      <c r="A343" t="s">
        <v>6</v>
      </c>
      <c r="B343">
        <v>320.872278999863</v>
      </c>
      <c r="C343" s="4">
        <f t="shared" si="5"/>
        <v>1.0411252265445698</v>
      </c>
      <c r="D343">
        <v>1.0411252265445699E-4</v>
      </c>
      <c r="E343">
        <v>5123200</v>
      </c>
      <c r="F343">
        <v>913.96172226531405</v>
      </c>
      <c r="H343" t="s">
        <v>6</v>
      </c>
      <c r="I343">
        <v>320.87227899986357</v>
      </c>
      <c r="J343">
        <f>DTDRpat_result0[[#This Row],[gap of angle (rad)2]]*10000</f>
        <v>0.88186351077346103</v>
      </c>
      <c r="K343">
        <v>8.8186351077346108E-5</v>
      </c>
    </row>
    <row r="344" spans="1:11" x14ac:dyDescent="0.3">
      <c r="A344" t="s">
        <v>6</v>
      </c>
      <c r="B344">
        <v>322.75744199986099</v>
      </c>
      <c r="C344" s="4">
        <f t="shared" si="5"/>
        <v>1.05094066874474</v>
      </c>
      <c r="D344">
        <v>1.05094066874474E-4</v>
      </c>
      <c r="E344">
        <v>5153300</v>
      </c>
      <c r="F344">
        <v>909.68383679426495</v>
      </c>
      <c r="H344" t="s">
        <v>6</v>
      </c>
      <c r="I344">
        <v>322.75744199986116</v>
      </c>
      <c r="J344">
        <f>DTDRpat_result0[[#This Row],[gap of angle (rad)2]]*10000</f>
        <v>0.85839862833464486</v>
      </c>
      <c r="K344">
        <v>8.5839862833464483E-5</v>
      </c>
    </row>
    <row r="345" spans="1:11" x14ac:dyDescent="0.3">
      <c r="A345" t="s">
        <v>6</v>
      </c>
      <c r="B345">
        <v>322.75744199986099</v>
      </c>
      <c r="C345" s="4">
        <f t="shared" si="5"/>
        <v>1.03211099640079</v>
      </c>
      <c r="D345">
        <v>1.03211099640079E-4</v>
      </c>
      <c r="E345">
        <v>5153300</v>
      </c>
      <c r="F345">
        <v>917.94402441666898</v>
      </c>
      <c r="H345" t="s">
        <v>6</v>
      </c>
      <c r="I345">
        <v>322.75744199986116</v>
      </c>
      <c r="J345">
        <f>DTDRpat_result0[[#This Row],[gap of angle (rad)2]]*10000</f>
        <v>0.85839862833464486</v>
      </c>
      <c r="K345">
        <v>8.5839862833464483E-5</v>
      </c>
    </row>
    <row r="346" spans="1:11" x14ac:dyDescent="0.3">
      <c r="A346" t="s">
        <v>6</v>
      </c>
      <c r="B346">
        <v>324.64260499985801</v>
      </c>
      <c r="C346" s="4">
        <f t="shared" si="5"/>
        <v>1.041580221159</v>
      </c>
      <c r="D346">
        <v>1.041580221159E-4</v>
      </c>
      <c r="E346">
        <v>5183400</v>
      </c>
      <c r="F346">
        <v>913.76209045485098</v>
      </c>
      <c r="H346" t="s">
        <v>6</v>
      </c>
      <c r="I346">
        <v>324.64260499985875</v>
      </c>
      <c r="J346">
        <f>DTDRpat_result0[[#This Row],[gap of angle (rad)2]]*10000</f>
        <v>0.83654252337808954</v>
      </c>
      <c r="K346">
        <v>8.3654252337808955E-5</v>
      </c>
    </row>
    <row r="347" spans="1:11" x14ac:dyDescent="0.3">
      <c r="A347" t="s">
        <v>6</v>
      </c>
      <c r="B347">
        <v>324.64260499985801</v>
      </c>
      <c r="C347" s="4">
        <f t="shared" si="5"/>
        <v>1.02345251816533</v>
      </c>
      <c r="D347">
        <v>1.02345251816533E-4</v>
      </c>
      <c r="E347">
        <v>5183400</v>
      </c>
      <c r="F347">
        <v>921.81855781783202</v>
      </c>
      <c r="H347" t="s">
        <v>6</v>
      </c>
      <c r="I347">
        <v>324.64260499985875</v>
      </c>
      <c r="J347">
        <f>DTDRpat_result0[[#This Row],[gap of angle (rad)2]]*10000</f>
        <v>0.83654249683495485</v>
      </c>
      <c r="K347">
        <v>8.3654249683495487E-5</v>
      </c>
    </row>
    <row r="348" spans="1:11" x14ac:dyDescent="0.3">
      <c r="A348" t="s">
        <v>6</v>
      </c>
      <c r="B348">
        <v>326.527767999856</v>
      </c>
      <c r="C348" s="4">
        <f t="shared" si="5"/>
        <v>1.0325489748901</v>
      </c>
      <c r="D348">
        <v>1.0325489748901E-4</v>
      </c>
      <c r="E348">
        <v>5213500</v>
      </c>
      <c r="F348">
        <v>917.74931783903298</v>
      </c>
      <c r="H348" t="s">
        <v>6</v>
      </c>
      <c r="I348">
        <v>326.52776799985628</v>
      </c>
      <c r="J348">
        <f>DTDRpat_result0[[#This Row],[gap of angle (rad)2]]*10000</f>
        <v>0.81623317721874444</v>
      </c>
      <c r="K348">
        <v>8.1623317721874446E-5</v>
      </c>
    </row>
    <row r="349" spans="1:11" x14ac:dyDescent="0.3">
      <c r="A349" t="s">
        <v>6</v>
      </c>
      <c r="B349">
        <v>326.527767999856</v>
      </c>
      <c r="C349" s="4">
        <f t="shared" si="5"/>
        <v>1.0151724448666601</v>
      </c>
      <c r="D349">
        <v>1.01517244486666E-4</v>
      </c>
      <c r="E349">
        <v>5213500</v>
      </c>
      <c r="F349">
        <v>925.57000744260597</v>
      </c>
      <c r="H349" t="s">
        <v>6</v>
      </c>
      <c r="I349">
        <v>326.52776799985628</v>
      </c>
      <c r="J349">
        <f>DTDRpat_result0[[#This Row],[gap of angle (rad)2]]*10000</f>
        <v>0.81623317721874444</v>
      </c>
      <c r="K349">
        <v>8.1623317721874446E-5</v>
      </c>
    </row>
    <row r="350" spans="1:11" x14ac:dyDescent="0.3">
      <c r="A350" t="s">
        <v>6</v>
      </c>
      <c r="B350">
        <v>328.41919399985301</v>
      </c>
      <c r="C350" s="4">
        <f t="shared" si="5"/>
        <v>1.0238441472237201</v>
      </c>
      <c r="D350">
        <v>1.02384414722372E-4</v>
      </c>
      <c r="E350">
        <v>5243700</v>
      </c>
      <c r="F350">
        <v>921.64224661513094</v>
      </c>
      <c r="H350" t="s">
        <v>6</v>
      </c>
      <c r="I350">
        <v>328.41919399985386</v>
      </c>
      <c r="J350">
        <f>DTDRpat_result0[[#This Row],[gap of angle (rad)2]]*10000</f>
        <v>0.79734847893543004</v>
      </c>
      <c r="K350">
        <v>7.9734847893543008E-5</v>
      </c>
    </row>
    <row r="351" spans="1:11" x14ac:dyDescent="0.3">
      <c r="A351" t="s">
        <v>6</v>
      </c>
      <c r="B351">
        <v>328.41919399985301</v>
      </c>
      <c r="C351" s="4">
        <f t="shared" si="5"/>
        <v>1.0072654599439701</v>
      </c>
      <c r="D351">
        <v>1.00726545994397E-4</v>
      </c>
      <c r="E351">
        <v>5243700</v>
      </c>
      <c r="F351">
        <v>929.19548171404699</v>
      </c>
      <c r="H351" t="s">
        <v>6</v>
      </c>
      <c r="I351">
        <v>328.41919399985386</v>
      </c>
      <c r="J351">
        <f>DTDRpat_result0[[#This Row],[gap of angle (rad)2]]*10000</f>
        <v>0.79734847893543004</v>
      </c>
      <c r="K351">
        <v>7.9734847893543008E-5</v>
      </c>
    </row>
    <row r="352" spans="1:11" x14ac:dyDescent="0.3">
      <c r="A352" t="s">
        <v>6</v>
      </c>
      <c r="B352">
        <v>330.31061999985099</v>
      </c>
      <c r="C352" s="4">
        <f t="shared" si="5"/>
        <v>1.01551923038527</v>
      </c>
      <c r="D352">
        <v>1.01551923038527E-4</v>
      </c>
      <c r="E352">
        <v>5273900</v>
      </c>
      <c r="F352">
        <v>925.41197026543796</v>
      </c>
      <c r="H352" t="s">
        <v>6</v>
      </c>
      <c r="I352">
        <v>330.31061999985144</v>
      </c>
      <c r="J352">
        <f>DTDRpat_result0[[#This Row],[gap of angle (rad)2]]*10000</f>
        <v>0.77989743826927949</v>
      </c>
      <c r="K352">
        <v>7.798974382692795E-5</v>
      </c>
    </row>
    <row r="353" spans="1:11" x14ac:dyDescent="0.3">
      <c r="A353" t="s">
        <v>6</v>
      </c>
      <c r="B353">
        <v>330.31061999985099</v>
      </c>
      <c r="C353" s="4">
        <f t="shared" si="5"/>
        <v>0.99977782817240302</v>
      </c>
      <c r="D353" s="1">
        <v>9.9977782817240306E-5</v>
      </c>
      <c r="E353">
        <v>5273900</v>
      </c>
      <c r="F353">
        <v>932.66821250667294</v>
      </c>
      <c r="H353" t="s">
        <v>6</v>
      </c>
      <c r="I353">
        <v>330.31061999985144</v>
      </c>
      <c r="J353">
        <f>DTDRpat_result0[[#This Row],[gap of angle (rad)2]]*10000</f>
        <v>0.77989735285627271</v>
      </c>
      <c r="K353">
        <v>7.7989735285627267E-5</v>
      </c>
    </row>
    <row r="354" spans="1:11" x14ac:dyDescent="0.3">
      <c r="A354" t="s">
        <v>6</v>
      </c>
      <c r="B354">
        <v>332.20204599984902</v>
      </c>
      <c r="C354" s="4">
        <f t="shared" si="5"/>
        <v>1.0075947259031499</v>
      </c>
      <c r="D354">
        <v>1.00759472590315E-4</v>
      </c>
      <c r="E354">
        <v>5304100</v>
      </c>
      <c r="F354">
        <v>929.04365970712502</v>
      </c>
      <c r="H354" t="s">
        <v>6</v>
      </c>
      <c r="I354">
        <v>332.20204599984902</v>
      </c>
      <c r="J354">
        <f>DTDRpat_result0[[#This Row],[gap of angle (rad)2]]*10000</f>
        <v>0.76382093567064269</v>
      </c>
      <c r="K354">
        <v>7.6382093567064268E-5</v>
      </c>
    </row>
    <row r="355" spans="1:11" x14ac:dyDescent="0.3">
      <c r="A355" t="s">
        <v>6</v>
      </c>
      <c r="B355">
        <v>332.20204599984902</v>
      </c>
      <c r="C355" s="4">
        <f t="shared" si="5"/>
        <v>0.99272555862330403</v>
      </c>
      <c r="D355" s="1">
        <v>9.9272555862330402E-5</v>
      </c>
      <c r="E355">
        <v>5304100</v>
      </c>
      <c r="F355">
        <v>935.97484924829803</v>
      </c>
      <c r="H355" t="s">
        <v>6</v>
      </c>
      <c r="I355">
        <v>332.20204599984902</v>
      </c>
      <c r="J355">
        <f>DTDRpat_result0[[#This Row],[gap of angle (rad)2]]*10000</f>
        <v>0.76382096474088557</v>
      </c>
      <c r="K355">
        <v>7.6382096474088553E-5</v>
      </c>
    </row>
    <row r="356" spans="1:11" x14ac:dyDescent="0.3">
      <c r="A356" t="s">
        <v>6</v>
      </c>
      <c r="B356">
        <v>334.09347199984597</v>
      </c>
      <c r="C356" s="4">
        <f t="shared" si="5"/>
        <v>1.0000888556812999</v>
      </c>
      <c r="D356">
        <v>1.0000888556813E-4</v>
      </c>
      <c r="E356">
        <v>5334300</v>
      </c>
      <c r="F356">
        <v>932.52319259926196</v>
      </c>
      <c r="H356" t="s">
        <v>6</v>
      </c>
      <c r="I356">
        <v>334.09347199984654</v>
      </c>
      <c r="J356">
        <f>DTDRpat_result0[[#This Row],[gap of angle (rad)2]]*10000</f>
        <v>0.7490629060378281</v>
      </c>
      <c r="K356">
        <v>7.4906290603782809E-5</v>
      </c>
    </row>
    <row r="357" spans="1:11" x14ac:dyDescent="0.3">
      <c r="A357" t="s">
        <v>6</v>
      </c>
      <c r="B357">
        <v>334.09347199984597</v>
      </c>
      <c r="C357" s="4">
        <f t="shared" si="5"/>
        <v>0.98612276548298294</v>
      </c>
      <c r="D357" s="1">
        <v>9.8612276548298297E-5</v>
      </c>
      <c r="E357">
        <v>5334300</v>
      </c>
      <c r="F357">
        <v>939.10281125085203</v>
      </c>
      <c r="H357" t="s">
        <v>6</v>
      </c>
      <c r="I357">
        <v>334.09347199984654</v>
      </c>
      <c r="J357">
        <f>DTDRpat_result0[[#This Row],[gap of angle (rad)2]]*10000</f>
        <v>0.74906292085932036</v>
      </c>
      <c r="K357">
        <v>7.4906292085932037E-5</v>
      </c>
    </row>
    <row r="358" spans="1:11" x14ac:dyDescent="0.3">
      <c r="A358" t="s">
        <v>6</v>
      </c>
      <c r="B358">
        <v>335.97863499984402</v>
      </c>
      <c r="C358" s="4">
        <f t="shared" si="5"/>
        <v>0.99304037134735101</v>
      </c>
      <c r="D358" s="1">
        <v>9.9304037134735103E-5</v>
      </c>
      <c r="E358">
        <v>5364400</v>
      </c>
      <c r="F358">
        <v>935.82649985594401</v>
      </c>
      <c r="H358" t="s">
        <v>6</v>
      </c>
      <c r="I358">
        <v>335.97863499984413</v>
      </c>
      <c r="J358">
        <f>DTDRpat_result0[[#This Row],[gap of angle (rad)2]]*10000</f>
        <v>0.73561287343881898</v>
      </c>
      <c r="K358">
        <v>7.3561287343881893E-5</v>
      </c>
    </row>
    <row r="359" spans="1:11" x14ac:dyDescent="0.3">
      <c r="A359" t="s">
        <v>6</v>
      </c>
      <c r="B359">
        <v>335.97863499984402</v>
      </c>
      <c r="C359" s="4">
        <f t="shared" si="5"/>
        <v>0.98000127124249392</v>
      </c>
      <c r="D359" s="1">
        <v>9.8000127124249397E-5</v>
      </c>
      <c r="E359">
        <v>5364400</v>
      </c>
      <c r="F359">
        <v>942.03091323053002</v>
      </c>
      <c r="H359" t="s">
        <v>6</v>
      </c>
      <c r="I359">
        <v>335.97863499984413</v>
      </c>
      <c r="J359">
        <f>DTDRpat_result0[[#This Row],[gap of angle (rad)2]]*10000</f>
        <v>0.73561287343881898</v>
      </c>
      <c r="K359">
        <v>7.3561287343881893E-5</v>
      </c>
    </row>
    <row r="360" spans="1:11" x14ac:dyDescent="0.3">
      <c r="A360" t="s">
        <v>6</v>
      </c>
      <c r="B360">
        <v>337.86379799984098</v>
      </c>
      <c r="C360" s="4">
        <f t="shared" si="5"/>
        <v>0.98643779461056502</v>
      </c>
      <c r="D360" s="1">
        <v>9.8643779461056501E-5</v>
      </c>
      <c r="E360">
        <v>5394500</v>
      </c>
      <c r="F360">
        <v>938.95287125070399</v>
      </c>
      <c r="H360" t="s">
        <v>6</v>
      </c>
      <c r="I360">
        <v>337.86379799984172</v>
      </c>
      <c r="J360">
        <f>DTDRpat_result0[[#This Row],[gap of angle (rad)2]]*10000</f>
        <v>0.72337063524988665</v>
      </c>
      <c r="K360">
        <v>7.2337063524988664E-5</v>
      </c>
    </row>
    <row r="361" spans="1:11" x14ac:dyDescent="0.3">
      <c r="A361" t="s">
        <v>6</v>
      </c>
      <c r="B361">
        <v>337.86379799984098</v>
      </c>
      <c r="C361" s="4">
        <f t="shared" si="5"/>
        <v>0.97434912460242606</v>
      </c>
      <c r="D361" s="1">
        <v>9.7434912460242607E-5</v>
      </c>
      <c r="E361">
        <v>5394500</v>
      </c>
      <c r="F361">
        <v>944.75895489761297</v>
      </c>
      <c r="H361" t="s">
        <v>6</v>
      </c>
      <c r="I361">
        <v>337.86379799984172</v>
      </c>
      <c r="J361">
        <f>DTDRpat_result0[[#This Row],[gap of angle (rad)2]]*10000</f>
        <v>0.72337057385822823</v>
      </c>
      <c r="K361">
        <v>7.2337057385822828E-5</v>
      </c>
    </row>
    <row r="362" spans="1:11" x14ac:dyDescent="0.3">
      <c r="B362">
        <v>339.74896099983903</v>
      </c>
      <c r="C362" s="4">
        <f t="shared" si="5"/>
        <v>0.98029332928831103</v>
      </c>
      <c r="D362" s="1">
        <v>9.8029332928831103E-5</v>
      </c>
      <c r="H362" t="s">
        <v>6</v>
      </c>
      <c r="I362">
        <v>339.74896099983931</v>
      </c>
      <c r="J362">
        <f>DTDRpat_result0[[#This Row],[gap of angle (rad)2]]*10000</f>
        <v>0.712290562088432</v>
      </c>
      <c r="K362">
        <v>7.1229056208843195E-5</v>
      </c>
    </row>
    <row r="363" spans="1:11" x14ac:dyDescent="0.3">
      <c r="B363">
        <v>339.74896099983903</v>
      </c>
      <c r="C363" s="4">
        <f t="shared" si="5"/>
        <v>0.96917544215996398</v>
      </c>
      <c r="D363" s="1">
        <v>9.6917544215996399E-5</v>
      </c>
      <c r="H363" t="s">
        <v>6</v>
      </c>
      <c r="I363">
        <v>339.74896099983931</v>
      </c>
      <c r="J363">
        <f>DTDRpat_result0[[#This Row],[gap of angle (rad)2]]*10000</f>
        <v>0.71229054650177248</v>
      </c>
      <c r="K363">
        <v>7.1229054650177252E-5</v>
      </c>
    </row>
    <row r="364" spans="1:11" x14ac:dyDescent="0.3">
      <c r="B364">
        <v>341.63412399983599</v>
      </c>
      <c r="C364" s="4">
        <f t="shared" si="5"/>
        <v>0.97461770175079099</v>
      </c>
      <c r="D364" s="1">
        <v>9.7461770175079102E-5</v>
      </c>
      <c r="H364" t="s">
        <v>6</v>
      </c>
      <c r="I364">
        <v>341.63412399983685</v>
      </c>
      <c r="J364">
        <f>DTDRpat_result0[[#This Row],[gap of angle (rad)2]]*10000</f>
        <v>0.70233093137792557</v>
      </c>
      <c r="K364">
        <v>7.0233093137792553E-5</v>
      </c>
    </row>
    <row r="365" spans="1:11" x14ac:dyDescent="0.3">
      <c r="B365">
        <v>341.63412399983599</v>
      </c>
      <c r="C365" s="4">
        <f t="shared" si="5"/>
        <v>0.96448813084168405</v>
      </c>
      <c r="D365" s="1">
        <v>9.6448813084168403E-5</v>
      </c>
      <c r="H365" t="s">
        <v>6</v>
      </c>
      <c r="I365">
        <v>341.63412399983685</v>
      </c>
      <c r="J365">
        <f>DTDRpat_result0[[#This Row],[gap of angle (rad)2]]*10000</f>
        <v>0.70233096299330655</v>
      </c>
      <c r="K365">
        <v>7.0233096299330655E-5</v>
      </c>
    </row>
    <row r="366" spans="1:11" x14ac:dyDescent="0.3">
      <c r="B366">
        <v>343.52554999983403</v>
      </c>
      <c r="C366" s="4">
        <f t="shared" si="5"/>
        <v>0.96940368576300007</v>
      </c>
      <c r="D366" s="1">
        <v>9.6940368576300004E-5</v>
      </c>
      <c r="H366" t="s">
        <v>6</v>
      </c>
      <c r="I366">
        <v>343.52554999983442</v>
      </c>
      <c r="J366">
        <f>DTDRpat_result0[[#This Row],[gap of angle (rad)2]]*10000</f>
        <v>0.69342604463425939</v>
      </c>
      <c r="K366">
        <v>6.9342604463425942E-5</v>
      </c>
    </row>
    <row r="367" spans="1:11" x14ac:dyDescent="0.3">
      <c r="B367">
        <v>343.52554999983403</v>
      </c>
      <c r="C367" s="4">
        <f t="shared" si="5"/>
        <v>0.96028073974353001</v>
      </c>
      <c r="D367" s="1">
        <v>9.6028073974353006E-5</v>
      </c>
      <c r="H367" t="s">
        <v>6</v>
      </c>
      <c r="I367">
        <v>343.52554999983442</v>
      </c>
      <c r="J367">
        <f>DTDRpat_result0[[#This Row],[gap of angle (rad)2]]*10000</f>
        <v>0.69342604463425939</v>
      </c>
      <c r="K367">
        <v>6.9342604463425942E-5</v>
      </c>
    </row>
    <row r="368" spans="1:11" x14ac:dyDescent="0.3">
      <c r="B368">
        <v>345.416975999832</v>
      </c>
      <c r="C368" s="4">
        <f t="shared" si="5"/>
        <v>0.9646788954171529</v>
      </c>
      <c r="D368" s="1">
        <v>9.6467889541715295E-5</v>
      </c>
      <c r="H368" t="s">
        <v>6</v>
      </c>
      <c r="I368">
        <v>345.416975999832</v>
      </c>
      <c r="J368">
        <f>DTDRpat_result0[[#This Row],[gap of angle (rad)2]]*10000</f>
        <v>0.68557619286294857</v>
      </c>
      <c r="K368">
        <v>6.8557619286294854E-5</v>
      </c>
    </row>
    <row r="369" spans="2:11" x14ac:dyDescent="0.3">
      <c r="B369">
        <v>345.416975999832</v>
      </c>
      <c r="C369" s="4">
        <f t="shared" si="5"/>
        <v>0.95657549067288705</v>
      </c>
      <c r="D369" s="1">
        <v>9.5657549067288701E-5</v>
      </c>
      <c r="H369" t="s">
        <v>6</v>
      </c>
      <c r="I369">
        <v>345.416975999832</v>
      </c>
      <c r="J369">
        <f>DTDRpat_result0[[#This Row],[gap of angle (rad)2]]*10000</f>
        <v>0.68557622525097517</v>
      </c>
      <c r="K369">
        <v>6.8557622525097512E-5</v>
      </c>
    </row>
    <row r="370" spans="2:11" x14ac:dyDescent="0.3">
      <c r="B370">
        <v>347.30840199982902</v>
      </c>
      <c r="C370" s="4">
        <f t="shared" si="5"/>
        <v>0.96045022709048411</v>
      </c>
      <c r="D370" s="1">
        <v>9.6045022709048407E-5</v>
      </c>
      <c r="H370" t="s">
        <v>6</v>
      </c>
      <c r="I370">
        <v>347.30840199982958</v>
      </c>
      <c r="J370">
        <f>DTDRpat_result0[[#This Row],[gap of angle (rad)2]]*10000</f>
        <v>0.67875078768009312</v>
      </c>
      <c r="K370">
        <v>6.787507876800931E-5</v>
      </c>
    </row>
    <row r="371" spans="2:11" x14ac:dyDescent="0.3">
      <c r="B371">
        <v>347.30840199982902</v>
      </c>
      <c r="C371" s="4">
        <f t="shared" si="5"/>
        <v>0.95337715528572198</v>
      </c>
      <c r="D371" s="1">
        <v>9.5337715528572196E-5</v>
      </c>
      <c r="H371" t="s">
        <v>6</v>
      </c>
      <c r="I371">
        <v>347.30840199982958</v>
      </c>
      <c r="J371">
        <f>DTDRpat_result0[[#This Row],[gap of angle (rad)2]]*10000</f>
        <v>0.67875078768009312</v>
      </c>
      <c r="K371">
        <v>6.787507876800931E-5</v>
      </c>
    </row>
    <row r="372" spans="2:11" x14ac:dyDescent="0.3">
      <c r="B372">
        <v>349.193564999827</v>
      </c>
      <c r="C372" s="4">
        <f t="shared" si="5"/>
        <v>0.95673493530823106</v>
      </c>
      <c r="D372" s="1">
        <v>9.5673493530823106E-5</v>
      </c>
      <c r="H372" t="s">
        <v>6</v>
      </c>
      <c r="I372">
        <v>349.19356499982717</v>
      </c>
      <c r="J372">
        <f>DTDRpat_result0[[#This Row],[gap of angle (rad)2]]*10000</f>
        <v>0.67294066316338363</v>
      </c>
      <c r="K372">
        <v>6.7294066316338363E-5</v>
      </c>
    </row>
    <row r="373" spans="2:11" x14ac:dyDescent="0.3">
      <c r="B373">
        <v>349.193564999827</v>
      </c>
      <c r="C373" s="4">
        <f t="shared" si="5"/>
        <v>0.95069765799475092</v>
      </c>
      <c r="D373" s="1">
        <v>9.5069765799475097E-5</v>
      </c>
      <c r="H373" t="s">
        <v>6</v>
      </c>
      <c r="I373">
        <v>349.19356499982717</v>
      </c>
      <c r="J373">
        <f>DTDRpat_result0[[#This Row],[gap of angle (rad)2]]*10000</f>
        <v>0.67294066316338363</v>
      </c>
      <c r="K373">
        <v>6.7294066316338363E-5</v>
      </c>
    </row>
    <row r="374" spans="2:11" x14ac:dyDescent="0.3">
      <c r="B374">
        <v>351.07872799982403</v>
      </c>
      <c r="C374" s="4">
        <f t="shared" si="5"/>
        <v>0.95352297648240503</v>
      </c>
      <c r="D374" s="1">
        <v>9.5352297648240505E-5</v>
      </c>
      <c r="H374" t="s">
        <v>6</v>
      </c>
      <c r="I374">
        <v>351.07872799982471</v>
      </c>
      <c r="J374">
        <f>DTDRpat_result0[[#This Row],[gap of angle (rad)2]]*10000</f>
        <v>0.66809884252838692</v>
      </c>
      <c r="K374">
        <v>6.6809884252838693E-5</v>
      </c>
    </row>
    <row r="375" spans="2:11" x14ac:dyDescent="0.3">
      <c r="B375">
        <v>351.07872799982403</v>
      </c>
      <c r="C375" s="4">
        <f t="shared" si="5"/>
        <v>0.94852876647530804</v>
      </c>
      <c r="D375" s="1">
        <v>9.4852876647530805E-5</v>
      </c>
      <c r="H375" t="s">
        <v>6</v>
      </c>
      <c r="I375">
        <v>351.07872799982471</v>
      </c>
      <c r="J375">
        <f>DTDRpat_result0[[#This Row],[gap of angle (rad)2]]*10000</f>
        <v>0.66809884252838692</v>
      </c>
      <c r="K375">
        <v>6.6809884252838693E-5</v>
      </c>
    </row>
    <row r="376" spans="2:11" x14ac:dyDescent="0.3">
      <c r="B376">
        <v>352.96389099982201</v>
      </c>
      <c r="C376" s="4">
        <f t="shared" si="5"/>
        <v>0.95081829557408004</v>
      </c>
      <c r="D376" s="1">
        <v>9.5081829557408003E-5</v>
      </c>
      <c r="H376" t="s">
        <v>6</v>
      </c>
      <c r="I376">
        <v>352.9638909998223</v>
      </c>
      <c r="J376">
        <f>DTDRpat_result0[[#This Row],[gap of angle (rad)2]]*10000</f>
        <v>0.66420621855976603</v>
      </c>
      <c r="K376">
        <v>6.6420621855976602E-5</v>
      </c>
    </row>
    <row r="377" spans="2:11" x14ac:dyDescent="0.3">
      <c r="B377">
        <v>352.96389099982201</v>
      </c>
      <c r="C377" s="4">
        <f t="shared" si="5"/>
        <v>0.946872922497078</v>
      </c>
      <c r="D377" s="1">
        <v>9.4687292249707802E-5</v>
      </c>
      <c r="H377" t="s">
        <v>6</v>
      </c>
      <c r="I377">
        <v>352.9638909998223</v>
      </c>
      <c r="J377">
        <f>DTDRpat_result0[[#This Row],[gap of angle (rad)2]]*10000</f>
        <v>0.66420621855976603</v>
      </c>
      <c r="K377">
        <v>6.6420621855976602E-5</v>
      </c>
    </row>
    <row r="378" spans="2:11" x14ac:dyDescent="0.3">
      <c r="B378">
        <v>354.84905399981898</v>
      </c>
      <c r="C378" s="4">
        <f t="shared" si="5"/>
        <v>0.94862408463926895</v>
      </c>
      <c r="D378" s="1">
        <v>9.4862408463926894E-5</v>
      </c>
      <c r="H378" t="s">
        <v>6</v>
      </c>
      <c r="I378">
        <v>354.84905399981989</v>
      </c>
      <c r="J378">
        <f>DTDRpat_result0[[#This Row],[gap of angle (rad)2]]*10000</f>
        <v>0.66124746923658506</v>
      </c>
      <c r="K378">
        <v>6.6124746923658509E-5</v>
      </c>
    </row>
    <row r="379" spans="2:11" x14ac:dyDescent="0.3">
      <c r="B379">
        <v>354.84905399981898</v>
      </c>
      <c r="C379" s="4">
        <f t="shared" si="5"/>
        <v>0.94573192869790401</v>
      </c>
      <c r="D379" s="1">
        <v>9.4573192869790401E-5</v>
      </c>
      <c r="H379" t="s">
        <v>6</v>
      </c>
      <c r="I379">
        <v>354.84905399981989</v>
      </c>
      <c r="J379">
        <f>DTDRpat_result0[[#This Row],[gap of angle (rad)2]]*10000</f>
        <v>0.66124751960606254</v>
      </c>
      <c r="K379">
        <v>6.6124751960606256E-5</v>
      </c>
    </row>
    <row r="380" spans="2:11" x14ac:dyDescent="0.3">
      <c r="B380">
        <v>356.73421699981702</v>
      </c>
      <c r="C380" s="4">
        <f t="shared" si="5"/>
        <v>0.94694275493561297</v>
      </c>
      <c r="D380" s="1">
        <v>9.4694275493561298E-5</v>
      </c>
      <c r="H380" t="s">
        <v>6</v>
      </c>
      <c r="I380">
        <v>356.73421699981748</v>
      </c>
      <c r="J380">
        <f>DTDRpat_result0[[#This Row],[gap of angle (rad)2]]*10000</f>
        <v>0.65921098456975802</v>
      </c>
      <c r="K380">
        <v>6.5921098456975802E-5</v>
      </c>
    </row>
    <row r="381" spans="2:11" x14ac:dyDescent="0.3">
      <c r="B381">
        <v>356.73421699981702</v>
      </c>
      <c r="C381" s="4">
        <f t="shared" si="5"/>
        <v>0.94510700367065803</v>
      </c>
      <c r="D381" s="1">
        <v>9.4510700367065803E-5</v>
      </c>
      <c r="H381" t="s">
        <v>6</v>
      </c>
      <c r="I381">
        <v>356.73421699981748</v>
      </c>
      <c r="J381">
        <f>DTDRpat_result0[[#This Row],[gap of angle (rad)2]]*10000</f>
        <v>0.65921098456975802</v>
      </c>
      <c r="K381">
        <v>6.5921098456975802E-5</v>
      </c>
    </row>
    <row r="382" spans="2:11" x14ac:dyDescent="0.3">
      <c r="B382">
        <v>358.61937999981501</v>
      </c>
      <c r="C382" s="4">
        <f t="shared" si="5"/>
        <v>0.94577626699239103</v>
      </c>
      <c r="D382" s="1">
        <v>9.4577626699239107E-5</v>
      </c>
      <c r="H382" t="s">
        <v>6</v>
      </c>
      <c r="I382">
        <v>358.61937999981501</v>
      </c>
      <c r="J382">
        <f>DTDRpat_result0[[#This Row],[gap of angle (rad)2]]*10000</f>
        <v>0.65808859112246165</v>
      </c>
      <c r="K382">
        <v>6.5808859112246164E-5</v>
      </c>
    </row>
    <row r="383" spans="2:11" x14ac:dyDescent="0.3">
      <c r="B383">
        <v>358.61937999981501</v>
      </c>
      <c r="C383" s="4">
        <f t="shared" si="5"/>
        <v>0.94499881878780601</v>
      </c>
      <c r="D383" s="1">
        <v>9.4499881878780604E-5</v>
      </c>
      <c r="H383" t="s">
        <v>6</v>
      </c>
      <c r="I383">
        <v>358.61937999981501</v>
      </c>
      <c r="J383">
        <f>DTDRpat_result0[[#This Row],[gap of angle (rad)2]]*10000</f>
        <v>0.65808855738162275</v>
      </c>
      <c r="K383">
        <v>6.5808855738162274E-5</v>
      </c>
    </row>
    <row r="384" spans="2:11" x14ac:dyDescent="0.3">
      <c r="D384" s="1"/>
    </row>
    <row r="385" spans="4:4" x14ac:dyDescent="0.3">
      <c r="D385" s="1"/>
    </row>
    <row r="386" spans="4:4" x14ac:dyDescent="0.3">
      <c r="D386" s="1"/>
    </row>
    <row r="387" spans="4:4" x14ac:dyDescent="0.3">
      <c r="D387" s="1"/>
    </row>
    <row r="388" spans="4:4" x14ac:dyDescent="0.3">
      <c r="D388" s="1"/>
    </row>
    <row r="389" spans="4:4" x14ac:dyDescent="0.3">
      <c r="D389" s="1"/>
    </row>
    <row r="390" spans="4:4" x14ac:dyDescent="0.3">
      <c r="D390" s="1"/>
    </row>
    <row r="391" spans="4:4" x14ac:dyDescent="0.3">
      <c r="D391" s="1"/>
    </row>
    <row r="392" spans="4:4" x14ac:dyDescent="0.3">
      <c r="D392" s="1"/>
    </row>
    <row r="393" spans="4:4" x14ac:dyDescent="0.3">
      <c r="D393" s="1"/>
    </row>
    <row r="394" spans="4:4" x14ac:dyDescent="0.3">
      <c r="D394" s="1"/>
    </row>
    <row r="395" spans="4:4" x14ac:dyDescent="0.3">
      <c r="D395" s="1"/>
    </row>
    <row r="396" spans="4:4" x14ac:dyDescent="0.3">
      <c r="D396" s="1"/>
    </row>
    <row r="397" spans="4:4" x14ac:dyDescent="0.3">
      <c r="D397" s="1"/>
    </row>
    <row r="398" spans="4:4" x14ac:dyDescent="0.3">
      <c r="D398" s="1"/>
    </row>
    <row r="399" spans="4:4" x14ac:dyDescent="0.3">
      <c r="D399" s="1"/>
    </row>
    <row r="400" spans="4:4" x14ac:dyDescent="0.3">
      <c r="D400" s="1"/>
    </row>
    <row r="401" spans="4:4" x14ac:dyDescent="0.3">
      <c r="D401" s="1"/>
    </row>
  </sheetData>
  <phoneticPr fontId="18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4FB20-ABA3-4F6F-A33A-292B1074B379}">
  <dimension ref="A1:G401"/>
  <sheetViews>
    <sheetView topLeftCell="A351" zoomScaleNormal="100" workbookViewId="0">
      <selection activeCell="B3" sqref="B3:C383"/>
    </sheetView>
  </sheetViews>
  <sheetFormatPr defaultRowHeight="16.5" x14ac:dyDescent="0.3"/>
  <cols>
    <col min="1" max="1" width="8.25" bestFit="1" customWidth="1"/>
    <col min="2" max="2" width="11.625" bestFit="1" customWidth="1"/>
    <col min="3" max="3" width="11.625" customWidth="1"/>
    <col min="4" max="4" width="20.375" bestFit="1" customWidth="1"/>
    <col min="5" max="5" width="15.625" bestFit="1" customWidth="1"/>
    <col min="7" max="7" width="8.5" bestFit="1" customWidth="1"/>
    <col min="8" max="8" width="12.75" bestFit="1" customWidth="1"/>
  </cols>
  <sheetData>
    <row r="1" spans="1:7" x14ac:dyDescent="0.3">
      <c r="A1" t="s">
        <v>0</v>
      </c>
      <c r="B1" t="s">
        <v>1</v>
      </c>
      <c r="C1" t="s">
        <v>9</v>
      </c>
      <c r="D1" t="s">
        <v>11</v>
      </c>
      <c r="E1" t="s">
        <v>2</v>
      </c>
      <c r="F1" t="s">
        <v>10</v>
      </c>
      <c r="G1" t="s">
        <v>12</v>
      </c>
    </row>
    <row r="2" spans="1:7" hidden="1" x14ac:dyDescent="0.3">
      <c r="A2" t="s">
        <v>6</v>
      </c>
      <c r="B2">
        <v>6.2630000000000012E-3</v>
      </c>
      <c r="C2">
        <f>DTDRpat_result0__4[[#This Row],[gap of angle (rad)2]]*10000</f>
        <v>0.94524748808722836</v>
      </c>
      <c r="D2">
        <v>9.4524748808722837E-5</v>
      </c>
      <c r="E2" t="s">
        <v>7</v>
      </c>
    </row>
    <row r="3" spans="1:7" x14ac:dyDescent="0.3">
      <c r="A3" t="s">
        <v>6</v>
      </c>
      <c r="B3">
        <v>6.2630000000000012E-3</v>
      </c>
      <c r="C3">
        <f>DTDRpat_result0__4[[#This Row],[gap of angle (rad)2]]*10000</f>
        <v>0.94524923813766348</v>
      </c>
      <c r="D3">
        <v>9.4524923813766348E-5</v>
      </c>
      <c r="E3" t="s">
        <v>8</v>
      </c>
    </row>
    <row r="4" spans="1:7" hidden="1" x14ac:dyDescent="0.3">
      <c r="A4" t="s">
        <v>6</v>
      </c>
      <c r="B4">
        <v>1.8851630000000021</v>
      </c>
      <c r="C4">
        <f>DTDRpat_result0__4[[#This Row],[gap of angle (rad)2]]*10000</f>
        <v>0.94497717797524683</v>
      </c>
      <c r="D4">
        <v>9.4497717797524679E-5</v>
      </c>
      <c r="E4" t="s">
        <v>7</v>
      </c>
    </row>
    <row r="5" spans="1:7" x14ac:dyDescent="0.3">
      <c r="A5" t="s">
        <v>6</v>
      </c>
      <c r="B5">
        <v>1.8851630000000021</v>
      </c>
      <c r="C5">
        <f>DTDRpat_result0__4[[#This Row],[gap of angle (rad)2]]*10000</f>
        <v>0.94603444901559786</v>
      </c>
      <c r="D5">
        <v>9.4603444901559782E-5</v>
      </c>
      <c r="E5" t="s">
        <v>8</v>
      </c>
    </row>
    <row r="6" spans="1:7" hidden="1" x14ac:dyDescent="0.3">
      <c r="A6" t="s">
        <v>6</v>
      </c>
      <c r="B6">
        <v>3.7891150000000429</v>
      </c>
      <c r="C6">
        <f>DTDRpat_result0__4[[#This Row],[gap of angle (rad)2]]*10000</f>
        <v>0.94522700403451154</v>
      </c>
      <c r="D6">
        <v>9.4522700403451153E-5</v>
      </c>
      <c r="E6" t="s">
        <v>7</v>
      </c>
    </row>
    <row r="7" spans="1:7" x14ac:dyDescent="0.3">
      <c r="A7" t="s">
        <v>6</v>
      </c>
      <c r="B7">
        <v>3.7891150000000429</v>
      </c>
      <c r="C7">
        <f>DTDRpat_result0__4[[#This Row],[gap of angle (rad)2]]*10000</f>
        <v>0.94735275834575894</v>
      </c>
      <c r="D7">
        <v>9.473527583457589E-5</v>
      </c>
      <c r="E7" t="s">
        <v>8</v>
      </c>
    </row>
    <row r="8" spans="1:7" hidden="1" x14ac:dyDescent="0.3">
      <c r="A8" t="s">
        <v>6</v>
      </c>
      <c r="B8">
        <v>5.6680149999999898</v>
      </c>
      <c r="C8">
        <f>DTDRpat_result0__4[[#This Row],[gap of angle (rad)2]]*10000</f>
        <v>0.94599014629422085</v>
      </c>
      <c r="D8">
        <v>9.4599014629422084E-5</v>
      </c>
      <c r="E8" t="s">
        <v>7</v>
      </c>
    </row>
    <row r="9" spans="1:7" x14ac:dyDescent="0.3">
      <c r="A9" t="s">
        <v>6</v>
      </c>
      <c r="B9">
        <v>5.6680149999999898</v>
      </c>
      <c r="C9">
        <f>DTDRpat_result0__4[[#This Row],[gap of angle (rad)2]]*10000</f>
        <v>0.94916804820666945</v>
      </c>
      <c r="D9">
        <v>9.4916804820666949E-5</v>
      </c>
      <c r="E9" t="s">
        <v>8</v>
      </c>
    </row>
    <row r="10" spans="1:7" hidden="1" x14ac:dyDescent="0.3">
      <c r="A10" t="s">
        <v>6</v>
      </c>
      <c r="B10">
        <v>7.5657039999999816</v>
      </c>
      <c r="C10">
        <f>DTDRpat_result0__4[[#This Row],[gap of angle (rad)2]]*10000</f>
        <v>0.94728102231726363</v>
      </c>
      <c r="D10">
        <v>9.4728102231726358E-5</v>
      </c>
      <c r="E10" t="s">
        <v>7</v>
      </c>
    </row>
    <row r="11" spans="1:7" x14ac:dyDescent="0.3">
      <c r="A11" t="s">
        <v>6</v>
      </c>
      <c r="B11">
        <v>7.5657039999999816</v>
      </c>
      <c r="C11">
        <f>DTDRpat_result0__4[[#This Row],[gap of angle (rad)2]]*10000</f>
        <v>0.95151806762449542</v>
      </c>
      <c r="D11">
        <v>9.5151806762449541E-5</v>
      </c>
      <c r="E11" t="s">
        <v>8</v>
      </c>
    </row>
    <row r="12" spans="1:7" hidden="1" x14ac:dyDescent="0.3">
      <c r="A12" t="s">
        <v>6</v>
      </c>
      <c r="B12">
        <v>9.4508670000001374</v>
      </c>
      <c r="C12">
        <f>DTDRpat_result0__4[[#This Row],[gap of angle (rad)2]]*10000</f>
        <v>0.94907952268458451</v>
      </c>
      <c r="D12">
        <v>9.4907952268458455E-5</v>
      </c>
      <c r="E12" t="s">
        <v>7</v>
      </c>
    </row>
    <row r="13" spans="1:7" x14ac:dyDescent="0.3">
      <c r="A13" t="s">
        <v>6</v>
      </c>
      <c r="B13">
        <v>9.4508670000001374</v>
      </c>
      <c r="C13">
        <f>DTDRpat_result0__4[[#This Row],[gap of angle (rad)2]]*10000</f>
        <v>0.95436392135500703</v>
      </c>
      <c r="D13">
        <v>9.5436392135500706E-5</v>
      </c>
      <c r="E13" t="s">
        <v>8</v>
      </c>
    </row>
    <row r="14" spans="1:7" hidden="1" x14ac:dyDescent="0.3">
      <c r="A14" t="s">
        <v>6</v>
      </c>
      <c r="B14">
        <v>11.329767000000343</v>
      </c>
      <c r="C14">
        <f>DTDRpat_result0__4[[#This Row],[gap of angle (rad)2]]*10000</f>
        <v>0.95138190500238962</v>
      </c>
      <c r="D14">
        <v>9.5138190500238966E-5</v>
      </c>
      <c r="E14" t="s">
        <v>7</v>
      </c>
    </row>
    <row r="15" spans="1:7" x14ac:dyDescent="0.3">
      <c r="A15" t="s">
        <v>6</v>
      </c>
      <c r="B15">
        <v>11.329767000000343</v>
      </c>
      <c r="C15">
        <f>DTDRpat_result0__4[[#This Row],[gap of angle (rad)2]]*10000</f>
        <v>0.95770408736538903</v>
      </c>
      <c r="D15">
        <v>9.5770408736538904E-5</v>
      </c>
      <c r="E15" t="s">
        <v>8</v>
      </c>
    </row>
    <row r="16" spans="1:7" hidden="1" x14ac:dyDescent="0.3">
      <c r="A16" t="s">
        <v>6</v>
      </c>
      <c r="B16">
        <v>13.208667000000569</v>
      </c>
      <c r="C16">
        <f>DTDRpat_result0__4[[#This Row],[gap of angle (rad)2]]*10000</f>
        <v>0.95419071174256986</v>
      </c>
      <c r="D16">
        <v>9.5419071174256988E-5</v>
      </c>
      <c r="E16" t="s">
        <v>7</v>
      </c>
    </row>
    <row r="17" spans="1:5" x14ac:dyDescent="0.3">
      <c r="A17" t="s">
        <v>6</v>
      </c>
      <c r="B17">
        <v>13.208667000000569</v>
      </c>
      <c r="C17">
        <f>DTDRpat_result0__4[[#This Row],[gap of angle (rad)2]]*10000</f>
        <v>0.96154300925095515</v>
      </c>
      <c r="D17">
        <v>9.6154300925095512E-5</v>
      </c>
      <c r="E17" t="s">
        <v>8</v>
      </c>
    </row>
    <row r="18" spans="1:5" hidden="1" x14ac:dyDescent="0.3">
      <c r="A18" t="s">
        <v>6</v>
      </c>
      <c r="B18">
        <v>15.106356000000735</v>
      </c>
      <c r="C18">
        <f>DTDRpat_result0__4[[#This Row],[gap of angle (rad)2]]*10000</f>
        <v>0.95753826480066218</v>
      </c>
      <c r="D18">
        <v>9.5753826480066218E-5</v>
      </c>
      <c r="E18" t="s">
        <v>7</v>
      </c>
    </row>
    <row r="19" spans="1:5" x14ac:dyDescent="0.3">
      <c r="A19" t="s">
        <v>6</v>
      </c>
      <c r="B19">
        <v>15.106356000000735</v>
      </c>
      <c r="C19">
        <f>DTDRpat_result0__4[[#This Row],[gap of angle (rad)2]]*10000</f>
        <v>0.96592152144339127</v>
      </c>
      <c r="D19">
        <v>9.6592152144339132E-5</v>
      </c>
      <c r="E19" t="s">
        <v>8</v>
      </c>
    </row>
    <row r="20" spans="1:5" hidden="1" x14ac:dyDescent="0.3">
      <c r="A20" t="s">
        <v>6</v>
      </c>
      <c r="B20">
        <v>16.991519000000864</v>
      </c>
      <c r="C20">
        <f>DTDRpat_result0__4[[#This Row],[gap of angle (rad)2]]*10000</f>
        <v>0.96136774406961867</v>
      </c>
      <c r="D20">
        <v>9.6136774406961872E-5</v>
      </c>
      <c r="E20" t="s">
        <v>7</v>
      </c>
    </row>
    <row r="21" spans="1:5" x14ac:dyDescent="0.3">
      <c r="A21" t="s">
        <v>6</v>
      </c>
      <c r="B21">
        <v>16.991519000000864</v>
      </c>
      <c r="C21">
        <f>DTDRpat_result0__4[[#This Row],[gap of angle (rad)2]]*10000</f>
        <v>0.97076386618997212</v>
      </c>
      <c r="D21">
        <v>9.707638661899721E-5</v>
      </c>
      <c r="E21" t="s">
        <v>8</v>
      </c>
    </row>
    <row r="22" spans="1:5" hidden="1" x14ac:dyDescent="0.3">
      <c r="A22" t="s">
        <v>6</v>
      </c>
      <c r="B22">
        <v>18.920523000001062</v>
      </c>
      <c r="C22">
        <f>DTDRpat_result0__4[[#This Row],[gap of angle (rad)2]]*10000</f>
        <v>0.965801046094242</v>
      </c>
      <c r="D22">
        <v>9.6580104609424205E-5</v>
      </c>
      <c r="E22" t="s">
        <v>7</v>
      </c>
    </row>
    <row r="23" spans="1:5" x14ac:dyDescent="0.3">
      <c r="A23" t="s">
        <v>6</v>
      </c>
      <c r="B23">
        <v>18.920523000001062</v>
      </c>
      <c r="C23">
        <f>DTDRpat_result0__4[[#This Row],[gap of angle (rad)2]]*10000</f>
        <v>0.97621979995106312</v>
      </c>
      <c r="D23">
        <v>9.7621979995106311E-5</v>
      </c>
      <c r="E23" t="s">
        <v>8</v>
      </c>
    </row>
    <row r="24" spans="1:5" hidden="1" x14ac:dyDescent="0.3">
      <c r="A24" t="s">
        <v>6</v>
      </c>
      <c r="B24">
        <v>20.830738000001276</v>
      </c>
      <c r="C24">
        <f>DTDRpat_result0__4[[#This Row],[gap of angle (rad)2]]*10000</f>
        <v>0.9706980578090324</v>
      </c>
      <c r="D24">
        <v>9.7069805780903239E-5</v>
      </c>
      <c r="E24" t="s">
        <v>7</v>
      </c>
    </row>
    <row r="25" spans="1:5" x14ac:dyDescent="0.3">
      <c r="A25" t="s">
        <v>6</v>
      </c>
      <c r="B25">
        <v>20.830738000001276</v>
      </c>
      <c r="C25">
        <f>DTDRpat_result0__4[[#This Row],[gap of angle (rad)2]]*10000</f>
        <v>0.98211321998968437</v>
      </c>
      <c r="D25">
        <v>9.8211321998968435E-5</v>
      </c>
      <c r="E25" t="s">
        <v>8</v>
      </c>
    </row>
    <row r="26" spans="1:5" hidden="1" x14ac:dyDescent="0.3">
      <c r="A26" t="s">
        <v>6</v>
      </c>
      <c r="B26">
        <v>22.734690000001489</v>
      </c>
      <c r="C26">
        <f>DTDRpat_result0__4[[#This Row],[gap of angle (rad)2]]*10000</f>
        <v>0.97607360464304638</v>
      </c>
      <c r="D26">
        <v>9.7607360464304634E-5</v>
      </c>
      <c r="E26" t="s">
        <v>7</v>
      </c>
    </row>
    <row r="27" spans="1:5" x14ac:dyDescent="0.3">
      <c r="A27" t="s">
        <v>6</v>
      </c>
      <c r="B27">
        <v>22.734690000001489</v>
      </c>
      <c r="C27">
        <f>DTDRpat_result0__4[[#This Row],[gap of angle (rad)2]]*10000</f>
        <v>0.98846317906143422</v>
      </c>
      <c r="D27">
        <v>9.8846317906143422E-5</v>
      </c>
      <c r="E27" t="s">
        <v>8</v>
      </c>
    </row>
    <row r="28" spans="1:5" hidden="1" x14ac:dyDescent="0.3">
      <c r="A28" t="s">
        <v>6</v>
      </c>
      <c r="B28">
        <v>24.632379000001709</v>
      </c>
      <c r="C28">
        <f>DTDRpat_result0__4[[#This Row],[gap of angle (rad)2]]*10000</f>
        <v>0.98191438885026883</v>
      </c>
      <c r="D28">
        <v>9.8191438885026882E-5</v>
      </c>
      <c r="E28" t="s">
        <v>7</v>
      </c>
    </row>
    <row r="29" spans="1:5" x14ac:dyDescent="0.3">
      <c r="A29" t="s">
        <v>6</v>
      </c>
      <c r="B29">
        <v>24.632379000001709</v>
      </c>
      <c r="C29">
        <f>DTDRpat_result0__4[[#This Row],[gap of angle (rad)2]]*10000</f>
        <v>0.99525356523518049</v>
      </c>
      <c r="D29">
        <v>9.9525356523518044E-5</v>
      </c>
      <c r="E29" t="s">
        <v>8</v>
      </c>
    </row>
    <row r="30" spans="1:5" hidden="1" x14ac:dyDescent="0.3">
      <c r="A30" t="s">
        <v>6</v>
      </c>
      <c r="B30">
        <v>26.530068000001961</v>
      </c>
      <c r="C30">
        <f>DTDRpat_result0__4[[#This Row],[gap of angle (rad)2]]*10000</f>
        <v>0.98822744019359365</v>
      </c>
      <c r="D30">
        <v>9.882274401935937E-5</v>
      </c>
      <c r="E30" t="s">
        <v>7</v>
      </c>
    </row>
    <row r="31" spans="1:5" x14ac:dyDescent="0.3">
      <c r="A31" t="s">
        <v>6</v>
      </c>
      <c r="B31">
        <v>26.530068000001961</v>
      </c>
      <c r="C31">
        <f>DTDRpat_result0__4[[#This Row],[gap of angle (rad)2]]*10000</f>
        <v>1.0024913652279379</v>
      </c>
      <c r="D31">
        <v>1.0024913652279378E-4</v>
      </c>
      <c r="E31" t="s">
        <v>8</v>
      </c>
    </row>
    <row r="32" spans="1:5" hidden="1" x14ac:dyDescent="0.3">
      <c r="A32" t="s">
        <v>6</v>
      </c>
      <c r="B32">
        <v>28.408968000002208</v>
      </c>
      <c r="C32">
        <f>DTDRpat_result0__4[[#This Row],[gap of angle (rad)2]]*10000</f>
        <v>0.99493217729819905</v>
      </c>
      <c r="D32">
        <v>9.9493217729819909E-5</v>
      </c>
      <c r="E32" t="s">
        <v>7</v>
      </c>
    </row>
    <row r="33" spans="1:5" x14ac:dyDescent="0.3">
      <c r="A33" t="s">
        <v>6</v>
      </c>
      <c r="B33">
        <v>28.408968000002208</v>
      </c>
      <c r="C33">
        <f>DTDRpat_result0__4[[#This Row],[gap of angle (rad)2]]*10000</f>
        <v>1.0100837495571071</v>
      </c>
      <c r="D33">
        <v>1.0100837495571072E-4</v>
      </c>
      <c r="E33" t="s">
        <v>8</v>
      </c>
    </row>
    <row r="34" spans="1:5" hidden="1" x14ac:dyDescent="0.3">
      <c r="A34" t="s">
        <v>6</v>
      </c>
      <c r="B34">
        <v>30.300394000002274</v>
      </c>
      <c r="C34">
        <f>DTDRpat_result0__4[[#This Row],[gap of angle (rad)2]]*10000</f>
        <v>1.002125237242445</v>
      </c>
      <c r="D34">
        <v>1.002125237242445E-4</v>
      </c>
      <c r="E34" t="s">
        <v>7</v>
      </c>
    </row>
    <row r="35" spans="1:5" x14ac:dyDescent="0.3">
      <c r="A35" t="s">
        <v>6</v>
      </c>
      <c r="B35">
        <v>30.300394000002274</v>
      </c>
      <c r="C35">
        <f>DTDRpat_result0__4[[#This Row],[gap of angle (rad)2]]*10000</f>
        <v>1.0181383566462943</v>
      </c>
      <c r="D35">
        <v>1.0181383566462944E-4</v>
      </c>
      <c r="E35" t="s">
        <v>8</v>
      </c>
    </row>
    <row r="36" spans="1:5" hidden="1" x14ac:dyDescent="0.3">
      <c r="A36" t="s">
        <v>6</v>
      </c>
      <c r="B36">
        <v>32.191820000002224</v>
      </c>
      <c r="C36">
        <f>DTDRpat_result0__4[[#This Row],[gap of angle (rad)2]]*10000</f>
        <v>1.0097488081775137</v>
      </c>
      <c r="D36">
        <v>1.0097488081775136E-4</v>
      </c>
      <c r="E36" t="s">
        <v>7</v>
      </c>
    </row>
    <row r="37" spans="1:5" x14ac:dyDescent="0.3">
      <c r="A37" t="s">
        <v>6</v>
      </c>
      <c r="B37">
        <v>32.191820000002224</v>
      </c>
      <c r="C37">
        <f>DTDRpat_result0__4[[#This Row],[gap of angle (rad)2]]*10000</f>
        <v>1.0265870991911332</v>
      </c>
      <c r="D37">
        <v>1.0265870991911333E-4</v>
      </c>
      <c r="E37" t="s">
        <v>8</v>
      </c>
    </row>
    <row r="38" spans="1:5" hidden="1" x14ac:dyDescent="0.3">
      <c r="A38" t="s">
        <v>6</v>
      </c>
      <c r="B38">
        <v>34.083246000001388</v>
      </c>
      <c r="C38">
        <f>DTDRpat_result0__4[[#This Row],[gap of angle (rad)2]]*10000</f>
        <v>1.0177861585964383</v>
      </c>
      <c r="D38">
        <v>1.0177861585964383E-4</v>
      </c>
      <c r="E38" t="s">
        <v>7</v>
      </c>
    </row>
    <row r="39" spans="1:5" x14ac:dyDescent="0.3">
      <c r="A39" t="s">
        <v>6</v>
      </c>
      <c r="B39">
        <v>34.083246000001388</v>
      </c>
      <c r="C39">
        <f>DTDRpat_result0__4[[#This Row],[gap of angle (rad)2]]*10000</f>
        <v>1.0354086952182189</v>
      </c>
      <c r="D39">
        <v>1.035408695218219E-4</v>
      </c>
      <c r="E39" t="s">
        <v>8</v>
      </c>
    </row>
    <row r="40" spans="1:5" hidden="1" x14ac:dyDescent="0.3">
      <c r="A40" t="s">
        <v>6</v>
      </c>
      <c r="B40">
        <v>35.962146000000565</v>
      </c>
      <c r="C40">
        <f>DTDRpat_result0__4[[#This Row],[gap of angle (rad)2]]*10000</f>
        <v>1.026161365998578</v>
      </c>
      <c r="D40">
        <v>1.0261613659985779E-4</v>
      </c>
      <c r="E40" t="s">
        <v>7</v>
      </c>
    </row>
    <row r="41" spans="1:5" x14ac:dyDescent="0.3">
      <c r="A41" t="s">
        <v>6</v>
      </c>
      <c r="B41">
        <v>35.962146000000565</v>
      </c>
      <c r="C41">
        <f>DTDRpat_result0__4[[#This Row],[gap of angle (rad)2]]*10000</f>
        <v>1.0445175228924348</v>
      </c>
      <c r="D41">
        <v>1.0445175228924348E-4</v>
      </c>
      <c r="E41" t="s">
        <v>8</v>
      </c>
    </row>
    <row r="42" spans="1:5" hidden="1" x14ac:dyDescent="0.3">
      <c r="A42" t="s">
        <v>6</v>
      </c>
      <c r="B42">
        <v>37.841045999999736</v>
      </c>
      <c r="C42">
        <f>DTDRpat_result0__4[[#This Row],[gap of angle (rad)2]]*10000</f>
        <v>1.0349056421320226</v>
      </c>
      <c r="D42">
        <v>1.0349056421320227E-4</v>
      </c>
      <c r="E42" t="s">
        <v>7</v>
      </c>
    </row>
    <row r="43" spans="1:5" x14ac:dyDescent="0.3">
      <c r="A43" t="s">
        <v>6</v>
      </c>
      <c r="B43">
        <v>37.841045999999736</v>
      </c>
      <c r="C43">
        <f>DTDRpat_result0__4[[#This Row],[gap of angle (rad)2]]*10000</f>
        <v>1.0539448266853617</v>
      </c>
      <c r="D43">
        <v>1.0539448266853618E-4</v>
      </c>
      <c r="E43" t="s">
        <v>8</v>
      </c>
    </row>
    <row r="44" spans="1:5" hidden="1" x14ac:dyDescent="0.3">
      <c r="A44" t="s">
        <v>6</v>
      </c>
      <c r="B44">
        <v>39.732471999998907</v>
      </c>
      <c r="C44">
        <f>DTDRpat_result0__4[[#This Row],[gap of angle (rad)2]]*10000</f>
        <v>1.0440574174758814</v>
      </c>
      <c r="D44">
        <v>1.0440574174758814E-4</v>
      </c>
      <c r="E44" t="s">
        <v>7</v>
      </c>
    </row>
    <row r="45" spans="1:5" x14ac:dyDescent="0.3">
      <c r="A45" t="s">
        <v>6</v>
      </c>
      <c r="B45">
        <v>39.732471999998907</v>
      </c>
      <c r="C45">
        <f>DTDRpat_result0__4[[#This Row],[gap of angle (rad)2]]*10000</f>
        <v>1.0637276141807137</v>
      </c>
      <c r="D45">
        <v>1.0637276141807138E-4</v>
      </c>
      <c r="E45" t="s">
        <v>8</v>
      </c>
    </row>
    <row r="46" spans="1:5" hidden="1" x14ac:dyDescent="0.3">
      <c r="A46" t="s">
        <v>6</v>
      </c>
      <c r="B46">
        <v>41.623897999998071</v>
      </c>
      <c r="C46">
        <f>DTDRpat_result0__4[[#This Row],[gap of angle (rad)2]]*10000</f>
        <v>1.053533310283693</v>
      </c>
      <c r="D46">
        <v>1.053533310283693E-4</v>
      </c>
      <c r="E46" t="s">
        <v>7</v>
      </c>
    </row>
    <row r="47" spans="1:5" x14ac:dyDescent="0.3">
      <c r="A47" t="s">
        <v>6</v>
      </c>
      <c r="B47">
        <v>41.623897999998071</v>
      </c>
      <c r="C47">
        <f>DTDRpat_result0__4[[#This Row],[gap of angle (rad)2]]*10000</f>
        <v>1.0737717826632553</v>
      </c>
      <c r="D47">
        <v>1.0737717826632553E-4</v>
      </c>
      <c r="E47" t="s">
        <v>8</v>
      </c>
    </row>
    <row r="48" spans="1:5" hidden="1" x14ac:dyDescent="0.3">
      <c r="A48" t="s">
        <v>6</v>
      </c>
      <c r="B48">
        <v>43.515323999997243</v>
      </c>
      <c r="C48">
        <f>DTDRpat_result0__4[[#This Row],[gap of angle (rad)2]]*10000</f>
        <v>1.0633041698582482</v>
      </c>
      <c r="D48">
        <v>1.0633041698582481E-4</v>
      </c>
      <c r="E48" t="s">
        <v>7</v>
      </c>
    </row>
    <row r="49" spans="1:5" x14ac:dyDescent="0.3">
      <c r="A49" t="s">
        <v>6</v>
      </c>
      <c r="B49">
        <v>43.515323999997243</v>
      </c>
      <c r="C49">
        <f>DTDRpat_result0__4[[#This Row],[gap of angle (rad)2]]*10000</f>
        <v>1.0840420362274363</v>
      </c>
      <c r="D49">
        <v>1.0840420362274363E-4</v>
      </c>
      <c r="E49" t="s">
        <v>8</v>
      </c>
    </row>
    <row r="50" spans="1:5" hidden="1" x14ac:dyDescent="0.3">
      <c r="A50" t="s">
        <v>6</v>
      </c>
      <c r="B50">
        <v>45.394223999996413</v>
      </c>
      <c r="C50">
        <f>DTDRpat_result0__4[[#This Row],[gap of angle (rad)2]]*10000</f>
        <v>1.0732706667512135</v>
      </c>
      <c r="D50">
        <v>1.0732706667512135E-4</v>
      </c>
      <c r="E50" t="s">
        <v>7</v>
      </c>
    </row>
    <row r="51" spans="1:5" x14ac:dyDescent="0.3">
      <c r="A51" t="s">
        <v>6</v>
      </c>
      <c r="B51">
        <v>45.394223999996413</v>
      </c>
      <c r="C51">
        <f>DTDRpat_result0__4[[#This Row],[gap of angle (rad)2]]*10000</f>
        <v>1.0944300245869245</v>
      </c>
      <c r="D51">
        <v>1.0944300245869245E-4</v>
      </c>
      <c r="E51" t="s">
        <v>8</v>
      </c>
    </row>
    <row r="52" spans="1:5" hidden="1" x14ac:dyDescent="0.3">
      <c r="A52" t="s">
        <v>6</v>
      </c>
      <c r="B52">
        <v>47.285649999995584</v>
      </c>
      <c r="C52">
        <f>DTDRpat_result0__4[[#This Row],[gap of angle (rad)2]]*10000</f>
        <v>1.0835306388050361</v>
      </c>
      <c r="D52">
        <v>1.083530638805036E-4</v>
      </c>
      <c r="E52" t="s">
        <v>7</v>
      </c>
    </row>
    <row r="53" spans="1:5" x14ac:dyDescent="0.3">
      <c r="A53" t="s">
        <v>6</v>
      </c>
      <c r="B53">
        <v>47.285649999995584</v>
      </c>
      <c r="C53">
        <f>DTDRpat_result0__4[[#This Row],[gap of angle (rad)2]]*10000</f>
        <v>1.1050327908382711</v>
      </c>
      <c r="D53">
        <v>1.1050327908382712E-4</v>
      </c>
      <c r="E53" t="s">
        <v>8</v>
      </c>
    </row>
    <row r="54" spans="1:5" hidden="1" x14ac:dyDescent="0.3">
      <c r="A54" t="s">
        <v>6</v>
      </c>
      <c r="B54">
        <v>49.164549999994755</v>
      </c>
      <c r="C54">
        <f>DTDRpat_result0__4[[#This Row],[gap of angle (rad)2]]*10000</f>
        <v>1.0939103911584005</v>
      </c>
      <c r="D54">
        <v>1.0939103911584005E-4</v>
      </c>
      <c r="E54" t="s">
        <v>7</v>
      </c>
    </row>
    <row r="55" spans="1:5" x14ac:dyDescent="0.3">
      <c r="A55" t="s">
        <v>6</v>
      </c>
      <c r="B55">
        <v>49.164549999994755</v>
      </c>
      <c r="C55">
        <f>DTDRpat_result0__4[[#This Row],[gap of angle (rad)2]]*10000</f>
        <v>1.1156656323407872</v>
      </c>
      <c r="D55">
        <v>1.1156656323407872E-4</v>
      </c>
      <c r="E55" t="s">
        <v>8</v>
      </c>
    </row>
    <row r="56" spans="1:5" hidden="1" x14ac:dyDescent="0.3">
      <c r="A56" t="s">
        <v>6</v>
      </c>
      <c r="B56">
        <v>51.062238999993923</v>
      </c>
      <c r="C56">
        <f>DTDRpat_result0__4[[#This Row],[gap of angle (rad)2]]*10000</f>
        <v>1.1045422693134264</v>
      </c>
      <c r="D56">
        <v>1.1045422693134264E-4</v>
      </c>
      <c r="E56" t="s">
        <v>7</v>
      </c>
    </row>
    <row r="57" spans="1:5" x14ac:dyDescent="0.3">
      <c r="A57" t="s">
        <v>6</v>
      </c>
      <c r="B57">
        <v>51.062238999993923</v>
      </c>
      <c r="C57">
        <f>DTDRpat_result0__4[[#This Row],[gap of angle (rad)2]]*10000</f>
        <v>1.1264580192667071</v>
      </c>
      <c r="D57">
        <v>1.126458019266707E-4</v>
      </c>
      <c r="E57" t="s">
        <v>8</v>
      </c>
    </row>
    <row r="58" spans="1:5" hidden="1" x14ac:dyDescent="0.3">
      <c r="A58" t="s">
        <v>6</v>
      </c>
      <c r="B58">
        <v>52.9411389999931</v>
      </c>
      <c r="C58">
        <f>DTDRpat_result0__4[[#This Row],[gap of angle (rad)2]]*10000</f>
        <v>1.1151714549454224</v>
      </c>
      <c r="D58">
        <v>1.1151714549454223E-4</v>
      </c>
      <c r="E58" t="s">
        <v>7</v>
      </c>
    </row>
    <row r="59" spans="1:5" x14ac:dyDescent="0.3">
      <c r="A59" t="s">
        <v>6</v>
      </c>
      <c r="B59">
        <v>52.9411389999931</v>
      </c>
      <c r="C59">
        <f>DTDRpat_result0__4[[#This Row],[gap of angle (rad)2]]*10000</f>
        <v>1.1371457081288427</v>
      </c>
      <c r="D59">
        <v>1.1371457081288427E-4</v>
      </c>
      <c r="E59" t="s">
        <v>8</v>
      </c>
    </row>
    <row r="60" spans="1:5" hidden="1" x14ac:dyDescent="0.3">
      <c r="A60" t="s">
        <v>6</v>
      </c>
      <c r="B60">
        <v>54.832564999992265</v>
      </c>
      <c r="C60">
        <f>DTDRpat_result0__4[[#This Row],[gap of angle (rad)2]]*10000</f>
        <v>1.1259268693129534</v>
      </c>
      <c r="D60">
        <v>1.1259268693129533E-4</v>
      </c>
      <c r="E60" t="s">
        <v>7</v>
      </c>
    </row>
    <row r="61" spans="1:5" x14ac:dyDescent="0.3">
      <c r="A61" t="s">
        <v>6</v>
      </c>
      <c r="B61">
        <v>54.832564999992265</v>
      </c>
      <c r="C61">
        <f>DTDRpat_result0__4[[#This Row],[gap of angle (rad)2]]*10000</f>
        <v>1.1478528902019181</v>
      </c>
      <c r="D61">
        <v>1.1478528902019181E-4</v>
      </c>
      <c r="E61" t="s">
        <v>8</v>
      </c>
    </row>
    <row r="62" spans="1:5" hidden="1" x14ac:dyDescent="0.3">
      <c r="A62" t="s">
        <v>6</v>
      </c>
      <c r="B62">
        <v>56.717727999991439</v>
      </c>
      <c r="C62">
        <f>DTDRpat_result0__4[[#This Row],[gap of angle (rad)2]]*10000</f>
        <v>1.1366512583309394</v>
      </c>
      <c r="D62">
        <v>1.1366512583309395E-4</v>
      </c>
      <c r="E62" t="s">
        <v>7</v>
      </c>
    </row>
    <row r="63" spans="1:5" x14ac:dyDescent="0.3">
      <c r="A63" t="s">
        <v>6</v>
      </c>
      <c r="B63">
        <v>56.717727999991439</v>
      </c>
      <c r="C63">
        <f>DTDRpat_result0__4[[#This Row],[gap of angle (rad)2]]*10000</f>
        <v>1.1584167606399498</v>
      </c>
      <c r="D63">
        <v>1.1584167606399498E-4</v>
      </c>
      <c r="E63" t="s">
        <v>8</v>
      </c>
    </row>
    <row r="64" spans="1:5" hidden="1" x14ac:dyDescent="0.3">
      <c r="A64" t="s">
        <v>6</v>
      </c>
      <c r="B64">
        <v>58.59662799999041</v>
      </c>
      <c r="C64">
        <f>DTDRpat_result0__4[[#This Row],[gap of angle (rad)2]]*10000</f>
        <v>1.1472914283988118</v>
      </c>
      <c r="D64">
        <v>1.1472914283988118E-4</v>
      </c>
      <c r="E64" t="s">
        <v>7</v>
      </c>
    </row>
    <row r="65" spans="1:5" x14ac:dyDescent="0.3">
      <c r="A65" t="s">
        <v>6</v>
      </c>
      <c r="B65">
        <v>58.59662799999041</v>
      </c>
      <c r="C65">
        <f>DTDRpat_result0__4[[#This Row],[gap of angle (rad)2]]*10000</f>
        <v>1.1687800427601303</v>
      </c>
      <c r="D65">
        <v>1.1687800427601303E-4</v>
      </c>
      <c r="E65" t="s">
        <v>8</v>
      </c>
    </row>
    <row r="66" spans="1:5" hidden="1" x14ac:dyDescent="0.3">
      <c r="A66" t="s">
        <v>6</v>
      </c>
      <c r="B66">
        <v>60.494316999989287</v>
      </c>
      <c r="C66">
        <f>DTDRpat_result0__4[[#This Row],[gap of angle (rad)2]]*10000</f>
        <v>1.1579321800721702</v>
      </c>
      <c r="D66">
        <v>1.1579321800721702E-4</v>
      </c>
      <c r="E66" t="s">
        <v>7</v>
      </c>
    </row>
    <row r="67" spans="1:5" x14ac:dyDescent="0.3">
      <c r="A67" t="s">
        <v>6</v>
      </c>
      <c r="B67">
        <v>60.494316999989287</v>
      </c>
      <c r="C67">
        <f>DTDRpat_result0__4[[#This Row],[gap of angle (rad)2]]*10000</f>
        <v>1.1790182378025942</v>
      </c>
      <c r="D67">
        <v>1.1790182378025942E-4</v>
      </c>
      <c r="E67" t="s">
        <v>8</v>
      </c>
    </row>
    <row r="68" spans="1:5" hidden="1" x14ac:dyDescent="0.3">
      <c r="A68" t="s">
        <v>6</v>
      </c>
      <c r="B68">
        <v>62.37321699998818</v>
      </c>
      <c r="C68">
        <f>DTDRpat_result0__4[[#This Row],[gap of angle (rad)2]]*10000</f>
        <v>1.1683044360371351</v>
      </c>
      <c r="D68">
        <v>1.168304436037135E-4</v>
      </c>
      <c r="E68" t="s">
        <v>7</v>
      </c>
    </row>
    <row r="69" spans="1:5" x14ac:dyDescent="0.3">
      <c r="A69" t="s">
        <v>6</v>
      </c>
      <c r="B69">
        <v>62.37321699998818</v>
      </c>
      <c r="C69">
        <f>DTDRpat_result0__4[[#This Row],[gap of angle (rad)2]]*10000</f>
        <v>1.1888667320314352</v>
      </c>
      <c r="D69">
        <v>1.1888667320314351E-4</v>
      </c>
      <c r="E69" t="s">
        <v>8</v>
      </c>
    </row>
    <row r="70" spans="1:5" hidden="1" x14ac:dyDescent="0.3">
      <c r="A70" t="s">
        <v>6</v>
      </c>
      <c r="B70">
        <v>64.264642999987458</v>
      </c>
      <c r="C70">
        <f>DTDRpat_result0__4[[#This Row],[gap of angle (rad)2]]*10000</f>
        <v>1.178521139330172</v>
      </c>
      <c r="D70">
        <v>1.1785211393301719E-4</v>
      </c>
      <c r="E70" t="s">
        <v>7</v>
      </c>
    </row>
    <row r="71" spans="1:5" x14ac:dyDescent="0.3">
      <c r="A71" t="s">
        <v>6</v>
      </c>
      <c r="B71">
        <v>64.264642999987458</v>
      </c>
      <c r="C71">
        <f>DTDRpat_result0__4[[#This Row],[gap of angle (rad)2]]*10000</f>
        <v>1.1984278977050062</v>
      </c>
      <c r="D71">
        <v>1.1984278977050063E-4</v>
      </c>
      <c r="E71" t="s">
        <v>8</v>
      </c>
    </row>
    <row r="72" spans="1:5" hidden="1" x14ac:dyDescent="0.3">
      <c r="A72" t="s">
        <v>6</v>
      </c>
      <c r="B72">
        <v>66.149805999988899</v>
      </c>
      <c r="C72">
        <f>DTDRpat_result0__4[[#This Row],[gap of angle (rad)2]]*10000</f>
        <v>1.1884176989133128</v>
      </c>
      <c r="D72">
        <v>1.1884176989133128E-4</v>
      </c>
      <c r="E72" t="s">
        <v>7</v>
      </c>
    </row>
    <row r="73" spans="1:5" x14ac:dyDescent="0.3">
      <c r="A73" t="s">
        <v>6</v>
      </c>
      <c r="B73">
        <v>66.149805999988899</v>
      </c>
      <c r="C73">
        <f>DTDRpat_result0__4[[#This Row],[gap of angle (rad)2]]*10000</f>
        <v>1.2075416704604398</v>
      </c>
      <c r="D73">
        <v>1.2075416704604398E-4</v>
      </c>
      <c r="E73" t="s">
        <v>8</v>
      </c>
    </row>
    <row r="74" spans="1:5" hidden="1" x14ac:dyDescent="0.3">
      <c r="A74" t="s">
        <v>6</v>
      </c>
      <c r="B74">
        <v>68.04123199999033</v>
      </c>
      <c r="C74">
        <f>DTDRpat_result0__4[[#This Row],[gap of angle (rad)2]]*10000</f>
        <v>1.1979965625786748</v>
      </c>
      <c r="D74">
        <v>1.1979965625786749E-4</v>
      </c>
      <c r="E74" t="s">
        <v>7</v>
      </c>
    </row>
    <row r="75" spans="1:5" x14ac:dyDescent="0.3">
      <c r="A75" t="s">
        <v>6</v>
      </c>
      <c r="B75">
        <v>68.04123199999033</v>
      </c>
      <c r="C75">
        <f>DTDRpat_result0__4[[#This Row],[gap of angle (rad)2]]*10000</f>
        <v>1.2162053371832175</v>
      </c>
      <c r="D75">
        <v>1.2162053371832175E-4</v>
      </c>
      <c r="E75" t="s">
        <v>8</v>
      </c>
    </row>
    <row r="76" spans="1:5" hidden="1" x14ac:dyDescent="0.3">
      <c r="A76" t="s">
        <v>6</v>
      </c>
      <c r="B76">
        <v>69.932657999992031</v>
      </c>
      <c r="C76">
        <f>DTDRpat_result0__4[[#This Row],[gap of angle (rad)2]]*10000</f>
        <v>1.2071604790544199</v>
      </c>
      <c r="D76">
        <v>1.20716047905442E-4</v>
      </c>
      <c r="E76" t="s">
        <v>7</v>
      </c>
    </row>
    <row r="77" spans="1:5" x14ac:dyDescent="0.3">
      <c r="A77" t="s">
        <v>6</v>
      </c>
      <c r="B77">
        <v>69.932657999992031</v>
      </c>
      <c r="C77">
        <f>DTDRpat_result0__4[[#This Row],[gap of angle (rad)2]]*10000</f>
        <v>1.2243255344286454</v>
      </c>
      <c r="D77">
        <v>1.2243255344286454E-4</v>
      </c>
      <c r="E77" t="s">
        <v>8</v>
      </c>
    </row>
    <row r="78" spans="1:5" hidden="1" x14ac:dyDescent="0.3">
      <c r="A78" t="s">
        <v>6</v>
      </c>
      <c r="B78">
        <v>71.811557999993852</v>
      </c>
      <c r="C78">
        <f>DTDRpat_result0__4[[#This Row],[gap of angle (rad)2]]*10000</f>
        <v>1.2157901623053544</v>
      </c>
      <c r="D78">
        <v>1.2157901623053544E-4</v>
      </c>
      <c r="E78" t="s">
        <v>7</v>
      </c>
    </row>
    <row r="79" spans="1:5" x14ac:dyDescent="0.3">
      <c r="A79" t="s">
        <v>6</v>
      </c>
      <c r="B79">
        <v>71.811557999993852</v>
      </c>
      <c r="C79">
        <f>DTDRpat_result0__4[[#This Row],[gap of angle (rad)2]]*10000</f>
        <v>1.2317942498261452</v>
      </c>
      <c r="D79">
        <v>1.2317942498261451E-4</v>
      </c>
      <c r="E79" t="s">
        <v>8</v>
      </c>
    </row>
    <row r="80" spans="1:5" hidden="1" x14ac:dyDescent="0.3">
      <c r="A80" t="s">
        <v>6</v>
      </c>
      <c r="B80">
        <v>73.690457999995672</v>
      </c>
      <c r="C80">
        <f>DTDRpat_result0__4[[#This Row],[gap of angle (rad)2]]*10000</f>
        <v>1.2238865627023883</v>
      </c>
      <c r="D80">
        <v>1.2238865627023883E-4</v>
      </c>
      <c r="E80" t="s">
        <v>7</v>
      </c>
    </row>
    <row r="81" spans="1:5" x14ac:dyDescent="0.3">
      <c r="A81" t="s">
        <v>6</v>
      </c>
      <c r="B81">
        <v>73.690457999995672</v>
      </c>
      <c r="C81">
        <f>DTDRpat_result0__4[[#This Row],[gap of angle (rad)2]]*10000</f>
        <v>1.2386105852258138</v>
      </c>
      <c r="D81">
        <v>1.2386105852258138E-4</v>
      </c>
      <c r="E81" t="s">
        <v>8</v>
      </c>
    </row>
    <row r="82" spans="1:5" hidden="1" x14ac:dyDescent="0.3">
      <c r="A82" t="s">
        <v>6</v>
      </c>
      <c r="B82">
        <v>75.588146999997534</v>
      </c>
      <c r="C82">
        <f>DTDRpat_result0__4[[#This Row],[gap of angle (rad)2]]*10000</f>
        <v>1.2314622091645548</v>
      </c>
      <c r="D82">
        <v>1.2314622091645549E-4</v>
      </c>
      <c r="E82" t="s">
        <v>7</v>
      </c>
    </row>
    <row r="83" spans="1:5" x14ac:dyDescent="0.3">
      <c r="A83" t="s">
        <v>6</v>
      </c>
      <c r="B83">
        <v>75.588146999997534</v>
      </c>
      <c r="C83">
        <f>DTDRpat_result0__4[[#This Row],[gap of angle (rad)2]]*10000</f>
        <v>1.2447789342197935</v>
      </c>
      <c r="D83">
        <v>1.2447789342197934E-4</v>
      </c>
      <c r="E83" t="s">
        <v>8</v>
      </c>
    </row>
    <row r="84" spans="1:5" hidden="1" x14ac:dyDescent="0.3">
      <c r="A84" t="s">
        <v>6</v>
      </c>
      <c r="B84">
        <v>77.467046999999354</v>
      </c>
      <c r="C84">
        <f>DTDRpat_result0__4[[#This Row],[gap of angle (rad)2]]*10000</f>
        <v>1.2383099772100015</v>
      </c>
      <c r="D84">
        <v>1.2383099772100015E-4</v>
      </c>
      <c r="E84" t="s">
        <v>7</v>
      </c>
    </row>
    <row r="85" spans="1:5" x14ac:dyDescent="0.3">
      <c r="A85" t="s">
        <v>6</v>
      </c>
      <c r="B85">
        <v>77.467046999999354</v>
      </c>
      <c r="C85">
        <f>DTDRpat_result0__4[[#This Row],[gap of angle (rad)2]]*10000</f>
        <v>1.2501280946463404</v>
      </c>
      <c r="D85">
        <v>1.2501280946463405E-4</v>
      </c>
      <c r="E85" t="s">
        <v>8</v>
      </c>
    </row>
    <row r="86" spans="1:5" hidden="1" x14ac:dyDescent="0.3">
      <c r="A86" t="s">
        <v>6</v>
      </c>
      <c r="B86">
        <v>79.358473000001183</v>
      </c>
      <c r="C86">
        <f>DTDRpat_result0__4[[#This Row],[gap of angle (rad)2]]*10000</f>
        <v>1.2444932246524902</v>
      </c>
      <c r="D86">
        <v>1.2444932246524903E-4</v>
      </c>
      <c r="E86" t="s">
        <v>7</v>
      </c>
    </row>
    <row r="87" spans="1:5" x14ac:dyDescent="0.3">
      <c r="A87" t="s">
        <v>6</v>
      </c>
      <c r="B87">
        <v>79.358473000001183</v>
      </c>
      <c r="C87">
        <f>DTDRpat_result0__4[[#This Row],[gap of angle (rad)2]]*10000</f>
        <v>1.2547068762848879</v>
      </c>
      <c r="D87">
        <v>1.2547068762848879E-4</v>
      </c>
      <c r="E87" t="s">
        <v>8</v>
      </c>
    </row>
    <row r="88" spans="1:5" hidden="1" x14ac:dyDescent="0.3">
      <c r="A88" t="s">
        <v>6</v>
      </c>
      <c r="B88">
        <v>81.24989900000304</v>
      </c>
      <c r="C88">
        <f>DTDRpat_result0__4[[#This Row],[gap of angle (rad)2]]*10000</f>
        <v>1.2499142604322424</v>
      </c>
      <c r="D88">
        <v>1.2499142604322424E-4</v>
      </c>
      <c r="E88" t="s">
        <v>7</v>
      </c>
    </row>
    <row r="89" spans="1:5" x14ac:dyDescent="0.3">
      <c r="A89" t="s">
        <v>6</v>
      </c>
      <c r="B89">
        <v>81.24989900000304</v>
      </c>
      <c r="C89">
        <f>DTDRpat_result0__4[[#This Row],[gap of angle (rad)2]]*10000</f>
        <v>1.2584384765693828</v>
      </c>
      <c r="D89">
        <v>1.2584384765693829E-4</v>
      </c>
      <c r="E89" t="s">
        <v>8</v>
      </c>
    </row>
    <row r="90" spans="1:5" hidden="1" x14ac:dyDescent="0.3">
      <c r="A90" t="s">
        <v>6</v>
      </c>
      <c r="B90">
        <v>83.141325000004883</v>
      </c>
      <c r="C90">
        <f>DTDRpat_result0__4[[#This Row],[gap of angle (rad)2]]*10000</f>
        <v>1.2545283546454542</v>
      </c>
      <c r="D90">
        <v>1.2545283546454541E-4</v>
      </c>
      <c r="E90" t="s">
        <v>7</v>
      </c>
    </row>
    <row r="91" spans="1:5" x14ac:dyDescent="0.3">
      <c r="A91" t="s">
        <v>6</v>
      </c>
      <c r="B91">
        <v>83.141325000004883</v>
      </c>
      <c r="C91">
        <f>DTDRpat_result0__4[[#This Row],[gap of angle (rad)2]]*10000</f>
        <v>1.2612911658595956</v>
      </c>
      <c r="D91">
        <v>1.2612911658595955E-4</v>
      </c>
      <c r="E91" t="s">
        <v>8</v>
      </c>
    </row>
    <row r="92" spans="1:5" hidden="1" x14ac:dyDescent="0.3">
      <c r="A92" t="s">
        <v>6</v>
      </c>
      <c r="B92">
        <v>85.020225000006718</v>
      </c>
      <c r="C92">
        <f>DTDRpat_result0__4[[#This Row],[gap of angle (rad)2]]*10000</f>
        <v>1.2582747694938272</v>
      </c>
      <c r="D92">
        <v>1.2582747694938273E-4</v>
      </c>
      <c r="E92" t="s">
        <v>7</v>
      </c>
    </row>
    <row r="93" spans="1:5" x14ac:dyDescent="0.3">
      <c r="A93" t="s">
        <v>6</v>
      </c>
      <c r="B93">
        <v>85.020225000006718</v>
      </c>
      <c r="C93">
        <f>DTDRpat_result0__4[[#This Row],[gap of angle (rad)2]]*10000</f>
        <v>1.263230435572104</v>
      </c>
      <c r="D93">
        <v>1.263230435572104E-4</v>
      </c>
      <c r="E93" t="s">
        <v>8</v>
      </c>
    </row>
    <row r="94" spans="1:5" hidden="1" x14ac:dyDescent="0.3">
      <c r="A94" t="s">
        <v>6</v>
      </c>
      <c r="B94">
        <v>86.899125000008539</v>
      </c>
      <c r="C94">
        <f>DTDRpat_result0__4[[#This Row],[gap of angle (rad)2]]*10000</f>
        <v>1.261155216215158</v>
      </c>
      <c r="D94">
        <v>1.2611552162151581E-4</v>
      </c>
      <c r="E94" t="s">
        <v>7</v>
      </c>
    </row>
    <row r="95" spans="1:5" x14ac:dyDescent="0.3">
      <c r="A95" t="s">
        <v>6</v>
      </c>
      <c r="B95">
        <v>86.899125000008539</v>
      </c>
      <c r="C95">
        <f>DTDRpat_result0__4[[#This Row],[gap of angle (rad)2]]*10000</f>
        <v>1.2642614286721641</v>
      </c>
      <c r="D95">
        <v>1.2642614286721641E-4</v>
      </c>
      <c r="E95" t="s">
        <v>8</v>
      </c>
    </row>
    <row r="96" spans="1:5" hidden="1" x14ac:dyDescent="0.3">
      <c r="A96" t="s">
        <v>6</v>
      </c>
      <c r="B96">
        <v>88.790551000010367</v>
      </c>
      <c r="C96">
        <f>DTDRpat_result0__4[[#This Row],[gap of angle (rad)2]]*10000</f>
        <v>1.2631554300597139</v>
      </c>
      <c r="D96">
        <v>1.2631554300597138E-4</v>
      </c>
      <c r="E96" t="s">
        <v>7</v>
      </c>
    </row>
    <row r="97" spans="1:5" x14ac:dyDescent="0.3">
      <c r="A97" t="s">
        <v>6</v>
      </c>
      <c r="B97">
        <v>88.790551000010367</v>
      </c>
      <c r="C97">
        <f>DTDRpat_result0__4[[#This Row],[gap of angle (rad)2]]*10000</f>
        <v>1.2643729412134408</v>
      </c>
      <c r="D97">
        <v>1.2643729412134408E-4</v>
      </c>
      <c r="E97" t="s">
        <v>8</v>
      </c>
    </row>
    <row r="98" spans="1:5" hidden="1" x14ac:dyDescent="0.3">
      <c r="A98" t="s">
        <v>6</v>
      </c>
      <c r="B98">
        <v>90.681977000012225</v>
      </c>
      <c r="C98">
        <f>DTDRpat_result0__4[[#This Row],[gap of angle (rad)2]]*10000</f>
        <v>1.2642359354484431</v>
      </c>
      <c r="D98">
        <v>1.2642359354484432E-4</v>
      </c>
      <c r="E98" t="s">
        <v>7</v>
      </c>
    </row>
    <row r="99" spans="1:5" x14ac:dyDescent="0.3">
      <c r="A99" t="s">
        <v>6</v>
      </c>
      <c r="B99">
        <v>90.681977000012225</v>
      </c>
      <c r="C99">
        <f>DTDRpat_result0__4[[#This Row],[gap of angle (rad)2]]*10000</f>
        <v>1.2635540666029612</v>
      </c>
      <c r="D99">
        <v>1.2635540666029613E-4</v>
      </c>
      <c r="E99" t="s">
        <v>8</v>
      </c>
    </row>
    <row r="100" spans="1:5" hidden="1" x14ac:dyDescent="0.3">
      <c r="A100" t="s">
        <v>6</v>
      </c>
      <c r="B100">
        <v>92.573403000014096</v>
      </c>
      <c r="C100">
        <f>DTDRpat_result0__4[[#This Row],[gap of angle (rad)2]]*10000</f>
        <v>1.2643872275256676</v>
      </c>
      <c r="D100">
        <v>1.2643872275256676E-4</v>
      </c>
      <c r="E100" t="s">
        <v>7</v>
      </c>
    </row>
    <row r="101" spans="1:5" x14ac:dyDescent="0.3">
      <c r="A101" t="s">
        <v>6</v>
      </c>
      <c r="B101">
        <v>92.573403000014096</v>
      </c>
      <c r="C101">
        <f>DTDRpat_result0__4[[#This Row],[gap of angle (rad)2]]*10000</f>
        <v>1.2618119417064682</v>
      </c>
      <c r="D101">
        <v>1.2618119417064682E-4</v>
      </c>
      <c r="E101" t="s">
        <v>8</v>
      </c>
    </row>
    <row r="102" spans="1:5" hidden="1" x14ac:dyDescent="0.3">
      <c r="A102" t="s">
        <v>6</v>
      </c>
      <c r="B102">
        <v>94.452303000016087</v>
      </c>
      <c r="C102">
        <f>DTDRpat_result0__4[[#This Row],[gap of angle (rad)2]]*10000</f>
        <v>1.2636162208450881</v>
      </c>
      <c r="D102">
        <v>1.2636162208450882E-4</v>
      </c>
      <c r="E102" t="s">
        <v>7</v>
      </c>
    </row>
    <row r="103" spans="1:5" x14ac:dyDescent="0.3">
      <c r="A103" t="s">
        <v>6</v>
      </c>
      <c r="B103">
        <v>94.452303000016087</v>
      </c>
      <c r="C103">
        <f>DTDRpat_result0__4[[#This Row],[gap of angle (rad)2]]*10000</f>
        <v>1.2591822792951186</v>
      </c>
      <c r="D103">
        <v>1.2591822792951186E-4</v>
      </c>
      <c r="E103" t="s">
        <v>8</v>
      </c>
    </row>
    <row r="104" spans="1:5" hidden="1" x14ac:dyDescent="0.3">
      <c r="A104" t="s">
        <v>6</v>
      </c>
      <c r="B104">
        <v>96.331203000018064</v>
      </c>
      <c r="C104">
        <f>DTDRpat_result0__4[[#This Row],[gap of angle (rad)2]]*10000</f>
        <v>1.2619335770555322</v>
      </c>
      <c r="D104">
        <v>1.2619335770555322E-4</v>
      </c>
      <c r="E104" t="s">
        <v>7</v>
      </c>
    </row>
    <row r="105" spans="1:5" x14ac:dyDescent="0.3">
      <c r="A105" t="s">
        <v>6</v>
      </c>
      <c r="B105">
        <v>96.331203000018064</v>
      </c>
      <c r="C105">
        <f>DTDRpat_result0__4[[#This Row],[gap of angle (rad)2]]*10000</f>
        <v>1.2556789549146612</v>
      </c>
      <c r="D105">
        <v>1.2556789549146612E-4</v>
      </c>
      <c r="E105" t="s">
        <v>8</v>
      </c>
    </row>
    <row r="106" spans="1:5" hidden="1" x14ac:dyDescent="0.3">
      <c r="A106" t="s">
        <v>6</v>
      </c>
      <c r="B106">
        <v>98.228892000020082</v>
      </c>
      <c r="C106">
        <f>DTDRpat_result0__4[[#This Row],[gap of angle (rad)2]]*10000</f>
        <v>1.2593236169459963</v>
      </c>
      <c r="D106">
        <v>1.2593236169459963E-4</v>
      </c>
      <c r="E106" t="s">
        <v>7</v>
      </c>
    </row>
    <row r="107" spans="1:5" x14ac:dyDescent="0.3">
      <c r="A107" t="s">
        <v>6</v>
      </c>
      <c r="B107">
        <v>98.228892000020082</v>
      </c>
      <c r="C107">
        <f>DTDRpat_result0__4[[#This Row],[gap of angle (rad)2]]*10000</f>
        <v>1.2512839389332688</v>
      </c>
      <c r="D107">
        <v>1.2512839389332688E-4</v>
      </c>
      <c r="E107" t="s">
        <v>8</v>
      </c>
    </row>
    <row r="108" spans="1:5" hidden="1" x14ac:dyDescent="0.3">
      <c r="A108" t="s">
        <v>6</v>
      </c>
      <c r="B108">
        <v>100.12031800002208</v>
      </c>
      <c r="C108">
        <f>DTDRpat_result0__4[[#This Row],[gap of angle (rad)2]]*10000</f>
        <v>1.2558342040822303</v>
      </c>
      <c r="D108">
        <v>1.2558342040822304E-4</v>
      </c>
      <c r="E108" t="s">
        <v>7</v>
      </c>
    </row>
    <row r="109" spans="1:5" x14ac:dyDescent="0.3">
      <c r="A109" t="s">
        <v>6</v>
      </c>
      <c r="B109">
        <v>100.12031800002208</v>
      </c>
      <c r="C109">
        <f>DTDRpat_result0__4[[#This Row],[gap of angle (rad)2]]*10000</f>
        <v>1.2460836853701889</v>
      </c>
      <c r="D109">
        <v>1.2460836853701889E-4</v>
      </c>
      <c r="E109" t="s">
        <v>8</v>
      </c>
    </row>
    <row r="110" spans="1:5" hidden="1" x14ac:dyDescent="0.3">
      <c r="A110" t="s">
        <v>6</v>
      </c>
      <c r="B110">
        <v>101.99921800002406</v>
      </c>
      <c r="C110">
        <f>DTDRpat_result0__4[[#This Row],[gap of angle (rad)2]]*10000</f>
        <v>1.2515196103627055</v>
      </c>
      <c r="D110">
        <v>1.2515196103627055E-4</v>
      </c>
      <c r="E110" t="s">
        <v>7</v>
      </c>
    </row>
    <row r="111" spans="1:5" x14ac:dyDescent="0.3">
      <c r="A111" t="s">
        <v>6</v>
      </c>
      <c r="B111">
        <v>101.99921800002406</v>
      </c>
      <c r="C111">
        <f>DTDRpat_result0__4[[#This Row],[gap of angle (rad)2]]*10000</f>
        <v>1.2401502042419827</v>
      </c>
      <c r="D111">
        <v>1.2401502042419827E-4</v>
      </c>
      <c r="E111" t="s">
        <v>8</v>
      </c>
    </row>
    <row r="112" spans="1:5" hidden="1" x14ac:dyDescent="0.3">
      <c r="A112" t="s">
        <v>6</v>
      </c>
      <c r="B112">
        <v>103.87811800002605</v>
      </c>
      <c r="C112">
        <f>DTDRpat_result0__4[[#This Row],[gap of angle (rad)2]]*10000</f>
        <v>1.2463955748916979</v>
      </c>
      <c r="D112">
        <v>1.246395574891698E-4</v>
      </c>
      <c r="E112" t="s">
        <v>7</v>
      </c>
    </row>
    <row r="113" spans="1:5" x14ac:dyDescent="0.3">
      <c r="A113" t="s">
        <v>6</v>
      </c>
      <c r="B113">
        <v>103.87811800002605</v>
      </c>
      <c r="C113">
        <f>DTDRpat_result0__4[[#This Row],[gap of angle (rad)2]]*10000</f>
        <v>1.2334992142977834</v>
      </c>
      <c r="D113">
        <v>1.2334992142977834E-4</v>
      </c>
      <c r="E113" t="s">
        <v>8</v>
      </c>
    </row>
    <row r="114" spans="1:5" hidden="1" x14ac:dyDescent="0.3">
      <c r="A114" t="s">
        <v>6</v>
      </c>
      <c r="B114">
        <v>105.75701800002803</v>
      </c>
      <c r="C114">
        <f>DTDRpat_result0__4[[#This Row],[gap of angle (rad)2]]*10000</f>
        <v>1.2405039766061723</v>
      </c>
      <c r="D114">
        <v>1.2405039766061722E-4</v>
      </c>
      <c r="E114" t="s">
        <v>7</v>
      </c>
    </row>
    <row r="115" spans="1:5" x14ac:dyDescent="0.3">
      <c r="A115" t="s">
        <v>6</v>
      </c>
      <c r="B115">
        <v>105.75701800002803</v>
      </c>
      <c r="C115">
        <f>DTDRpat_result0__4[[#This Row],[gap of angle (rad)2]]*10000</f>
        <v>1.2261827199452695</v>
      </c>
      <c r="D115">
        <v>1.2261827199452696E-4</v>
      </c>
      <c r="E115" t="s">
        <v>8</v>
      </c>
    </row>
    <row r="116" spans="1:5" hidden="1" x14ac:dyDescent="0.3">
      <c r="A116" t="s">
        <v>6</v>
      </c>
      <c r="B116">
        <v>107.65470700003004</v>
      </c>
      <c r="C116">
        <f>DTDRpat_result0__4[[#This Row],[gap of angle (rad)2]]*10000</f>
        <v>1.2338224644136213</v>
      </c>
      <c r="D116">
        <v>1.2338224644136214E-4</v>
      </c>
      <c r="E116" t="s">
        <v>7</v>
      </c>
    </row>
    <row r="117" spans="1:5" x14ac:dyDescent="0.3">
      <c r="A117" t="s">
        <v>6</v>
      </c>
      <c r="B117">
        <v>107.65470700003004</v>
      </c>
      <c r="C117">
        <f>DTDRpat_result0__4[[#This Row],[gap of angle (rad)2]]*10000</f>
        <v>1.2181743212228846</v>
      </c>
      <c r="D117">
        <v>1.2181743212228846E-4</v>
      </c>
      <c r="E117" t="s">
        <v>8</v>
      </c>
    </row>
    <row r="118" spans="1:5" hidden="1" x14ac:dyDescent="0.3">
      <c r="A118" t="s">
        <v>6</v>
      </c>
      <c r="B118">
        <v>109.54613300003204</v>
      </c>
      <c r="C118">
        <f>DTDRpat_result0__4[[#This Row],[gap of angle (rad)2]]*10000</f>
        <v>1.2264849153517858</v>
      </c>
      <c r="D118">
        <v>1.2264849153517858E-4</v>
      </c>
      <c r="E118" t="s">
        <v>7</v>
      </c>
    </row>
    <row r="119" spans="1:5" x14ac:dyDescent="0.3">
      <c r="A119" t="s">
        <v>6</v>
      </c>
      <c r="B119">
        <v>109.54613300003204</v>
      </c>
      <c r="C119">
        <f>DTDRpat_result0__4[[#This Row],[gap of angle (rad)2]]*10000</f>
        <v>1.2096334510147719</v>
      </c>
      <c r="D119">
        <v>1.2096334510147719E-4</v>
      </c>
      <c r="E119" t="s">
        <v>8</v>
      </c>
    </row>
    <row r="120" spans="1:5" hidden="1" x14ac:dyDescent="0.3">
      <c r="A120" t="s">
        <v>6</v>
      </c>
      <c r="B120">
        <v>111.43755900003404</v>
      </c>
      <c r="C120">
        <f>DTDRpat_result0__4[[#This Row],[gap of angle (rad)2]]*10000</f>
        <v>1.2185271301804694</v>
      </c>
      <c r="D120">
        <v>1.2185271301804695E-4</v>
      </c>
      <c r="E120" t="s">
        <v>7</v>
      </c>
    </row>
    <row r="121" spans="1:5" x14ac:dyDescent="0.3">
      <c r="A121" t="s">
        <v>6</v>
      </c>
      <c r="B121">
        <v>111.43755900003404</v>
      </c>
      <c r="C121">
        <f>DTDRpat_result0__4[[#This Row],[gap of angle (rad)2]]*10000</f>
        <v>1.2005966099242067</v>
      </c>
      <c r="D121">
        <v>1.2005966099242067E-4</v>
      </c>
      <c r="E121" t="s">
        <v>8</v>
      </c>
    </row>
    <row r="122" spans="1:5" hidden="1" x14ac:dyDescent="0.3">
      <c r="A122" t="s">
        <v>6</v>
      </c>
      <c r="B122">
        <v>113.32898500003604</v>
      </c>
      <c r="C122">
        <f>DTDRpat_result0__4[[#This Row],[gap of angle (rad)2]]*10000</f>
        <v>1.2100088261134991</v>
      </c>
      <c r="D122">
        <v>1.2100088261134992E-4</v>
      </c>
      <c r="E122" t="s">
        <v>7</v>
      </c>
    </row>
    <row r="123" spans="1:5" x14ac:dyDescent="0.3">
      <c r="A123" t="s">
        <v>6</v>
      </c>
      <c r="B123">
        <v>113.32898500003604</v>
      </c>
      <c r="C123">
        <f>DTDRpat_result0__4[[#This Row],[gap of angle (rad)2]]*10000</f>
        <v>1.1911270400743326</v>
      </c>
      <c r="D123">
        <v>1.1911270400743325E-4</v>
      </c>
      <c r="E123" t="s">
        <v>8</v>
      </c>
    </row>
    <row r="124" spans="1:5" hidden="1" x14ac:dyDescent="0.3">
      <c r="A124" t="s">
        <v>6</v>
      </c>
      <c r="B124">
        <v>115.20788500003803</v>
      </c>
      <c r="C124">
        <f>DTDRpat_result0__4[[#This Row],[gap of angle (rad)2]]*10000</f>
        <v>1.2010530974093065</v>
      </c>
      <c r="D124">
        <v>1.2010530974093066E-4</v>
      </c>
      <c r="E124" t="s">
        <v>7</v>
      </c>
    </row>
    <row r="125" spans="1:5" x14ac:dyDescent="0.3">
      <c r="A125" t="s">
        <v>6</v>
      </c>
      <c r="B125">
        <v>115.20788500003803</v>
      </c>
      <c r="C125">
        <f>DTDRpat_result0__4[[#This Row],[gap of angle (rad)2]]*10000</f>
        <v>1.1813548314536608</v>
      </c>
      <c r="D125">
        <v>1.1813548314536607E-4</v>
      </c>
      <c r="E125" t="s">
        <v>8</v>
      </c>
    </row>
    <row r="126" spans="1:5" hidden="1" x14ac:dyDescent="0.3">
      <c r="A126" t="s">
        <v>6</v>
      </c>
      <c r="B126">
        <v>117.08678500003998</v>
      </c>
      <c r="C126">
        <f>DTDRpat_result0__4[[#This Row],[gap of angle (rad)2]]*10000</f>
        <v>1.1916672616896702</v>
      </c>
      <c r="D126">
        <v>1.1916672616896702E-4</v>
      </c>
      <c r="E126" t="s">
        <v>7</v>
      </c>
    </row>
    <row r="127" spans="1:5" x14ac:dyDescent="0.3">
      <c r="A127" t="s">
        <v>6</v>
      </c>
      <c r="B127">
        <v>117.08678500003998</v>
      </c>
      <c r="C127">
        <f>DTDRpat_result0__4[[#This Row],[gap of angle (rad)2]]*10000</f>
        <v>1.171280958947498</v>
      </c>
      <c r="D127">
        <v>1.171280958947498E-4</v>
      </c>
      <c r="E127" t="s">
        <v>8</v>
      </c>
    </row>
    <row r="128" spans="1:5" hidden="1" x14ac:dyDescent="0.3">
      <c r="A128" t="s">
        <v>6</v>
      </c>
      <c r="B128">
        <v>118.96568500004193</v>
      </c>
      <c r="C128">
        <f>DTDRpat_result0__4[[#This Row],[gap of angle (rad)2]]*10000</f>
        <v>1.1819138823982678</v>
      </c>
      <c r="D128">
        <v>1.1819138823982677E-4</v>
      </c>
      <c r="E128" t="s">
        <v>7</v>
      </c>
    </row>
    <row r="129" spans="1:5" x14ac:dyDescent="0.3">
      <c r="A129" t="s">
        <v>6</v>
      </c>
      <c r="B129">
        <v>118.96568500004193</v>
      </c>
      <c r="C129">
        <f>DTDRpat_result0__4[[#This Row],[gap of angle (rad)2]]*10000</f>
        <v>1.1609671129776054</v>
      </c>
      <c r="D129">
        <v>1.1609671129776054E-4</v>
      </c>
      <c r="E129" t="s">
        <v>8</v>
      </c>
    </row>
    <row r="130" spans="1:5" hidden="1" x14ac:dyDescent="0.3">
      <c r="A130" t="s">
        <v>6</v>
      </c>
      <c r="B130">
        <v>120.85084800004387</v>
      </c>
      <c r="C130">
        <f>DTDRpat_result0__4[[#This Row],[gap of angle (rad)2]]*10000</f>
        <v>1.1718214049836071</v>
      </c>
      <c r="D130">
        <v>1.1718214049836071E-4</v>
      </c>
      <c r="E130" t="s">
        <v>7</v>
      </c>
    </row>
    <row r="131" spans="1:5" x14ac:dyDescent="0.3">
      <c r="A131" t="s">
        <v>6</v>
      </c>
      <c r="B131">
        <v>120.85084800004387</v>
      </c>
      <c r="C131">
        <f>DTDRpat_result0__4[[#This Row],[gap of angle (rad)2]]*10000</f>
        <v>1.1504383193448451</v>
      </c>
      <c r="D131">
        <v>1.1504383193448451E-4</v>
      </c>
      <c r="E131" t="s">
        <v>8</v>
      </c>
    </row>
    <row r="132" spans="1:5" hidden="1" x14ac:dyDescent="0.3">
      <c r="A132" t="s">
        <v>6</v>
      </c>
      <c r="B132">
        <v>122.74853700004584</v>
      </c>
      <c r="C132">
        <f>DTDRpat_result0__4[[#This Row],[gap of angle (rad)2]]*10000</f>
        <v>1.1614146763400255</v>
      </c>
      <c r="D132">
        <v>1.1614146763400255E-4</v>
      </c>
      <c r="E132" t="s">
        <v>7</v>
      </c>
    </row>
    <row r="133" spans="1:5" x14ac:dyDescent="0.3">
      <c r="A133" t="s">
        <v>6</v>
      </c>
      <c r="B133">
        <v>122.74853700004584</v>
      </c>
      <c r="C133">
        <f>DTDRpat_result0__4[[#This Row],[gap of angle (rad)2]]*10000</f>
        <v>1.1397166174172009</v>
      </c>
      <c r="D133">
        <v>1.1397166174172009E-4</v>
      </c>
      <c r="E133" t="s">
        <v>8</v>
      </c>
    </row>
    <row r="134" spans="1:5" hidden="1" x14ac:dyDescent="0.3">
      <c r="A134" t="s">
        <v>6</v>
      </c>
      <c r="B134">
        <v>124.6399630000478</v>
      </c>
      <c r="C134">
        <f>DTDRpat_result0__4[[#This Row],[gap of angle (rad)2]]*10000</f>
        <v>1.1508572167177826</v>
      </c>
      <c r="D134">
        <v>1.1508572167177826E-4</v>
      </c>
      <c r="E134" t="s">
        <v>7</v>
      </c>
    </row>
    <row r="135" spans="1:5" x14ac:dyDescent="0.3">
      <c r="A135" t="s">
        <v>6</v>
      </c>
      <c r="B135">
        <v>124.6399630000478</v>
      </c>
      <c r="C135">
        <f>DTDRpat_result0__4[[#This Row],[gap of angle (rad)2]]*10000</f>
        <v>1.1289649889296087</v>
      </c>
      <c r="D135">
        <v>1.1289649889296086E-4</v>
      </c>
      <c r="E135" t="s">
        <v>8</v>
      </c>
    </row>
    <row r="136" spans="1:5" hidden="1" x14ac:dyDescent="0.3">
      <c r="A136" t="s">
        <v>6</v>
      </c>
      <c r="B136">
        <v>126.53138900004976</v>
      </c>
      <c r="C136">
        <f>DTDRpat_result0__4[[#This Row],[gap of angle (rad)2]]*10000</f>
        <v>1.1401747718002082</v>
      </c>
      <c r="D136">
        <v>1.1401747718002083E-4</v>
      </c>
      <c r="E136" t="s">
        <v>7</v>
      </c>
    </row>
    <row r="137" spans="1:5" x14ac:dyDescent="0.3">
      <c r="A137" t="s">
        <v>6</v>
      </c>
      <c r="B137">
        <v>126.53138900004976</v>
      </c>
      <c r="C137">
        <f>DTDRpat_result0__4[[#This Row],[gap of angle (rad)2]]*10000</f>
        <v>1.1182030238026799</v>
      </c>
      <c r="D137">
        <v>1.1182030238026798E-4</v>
      </c>
      <c r="E137" t="s">
        <v>8</v>
      </c>
    </row>
    <row r="138" spans="1:5" hidden="1" x14ac:dyDescent="0.3">
      <c r="A138" t="s">
        <v>6</v>
      </c>
      <c r="B138">
        <v>128.42281500005069</v>
      </c>
      <c r="C138">
        <f>DTDRpat_result0__4[[#This Row],[gap of angle (rad)2]]*10000</f>
        <v>1.1294248014962709</v>
      </c>
      <c r="D138">
        <v>1.1294248014962709E-4</v>
      </c>
      <c r="E138" t="s">
        <v>7</v>
      </c>
    </row>
    <row r="139" spans="1:5" x14ac:dyDescent="0.3">
      <c r="A139" t="s">
        <v>6</v>
      </c>
      <c r="B139">
        <v>128.42281500005069</v>
      </c>
      <c r="C139">
        <f>DTDRpat_result0__4[[#This Row],[gap of angle (rad)2]]*10000</f>
        <v>1.1074825505846828</v>
      </c>
      <c r="D139">
        <v>1.1074825505846827E-4</v>
      </c>
      <c r="E139" t="s">
        <v>8</v>
      </c>
    </row>
    <row r="140" spans="1:5" hidden="1" x14ac:dyDescent="0.3">
      <c r="A140" t="s">
        <v>6</v>
      </c>
      <c r="B140">
        <v>130.31424100004827</v>
      </c>
      <c r="C140">
        <f>DTDRpat_result0__4[[#This Row],[gap of angle (rad)2]]*10000</f>
        <v>1.1186621785703128</v>
      </c>
      <c r="D140">
        <v>1.1186621785703129E-4</v>
      </c>
      <c r="E140" t="s">
        <v>7</v>
      </c>
    </row>
    <row r="141" spans="1:5" x14ac:dyDescent="0.3">
      <c r="A141" t="s">
        <v>6</v>
      </c>
      <c r="B141">
        <v>130.31424100004827</v>
      </c>
      <c r="C141">
        <f>DTDRpat_result0__4[[#This Row],[gap of angle (rad)2]]*10000</f>
        <v>1.09685246111873</v>
      </c>
      <c r="D141">
        <v>1.0968524611187301E-4</v>
      </c>
      <c r="E141" t="s">
        <v>8</v>
      </c>
    </row>
    <row r="142" spans="1:5" hidden="1" x14ac:dyDescent="0.3">
      <c r="A142" t="s">
        <v>6</v>
      </c>
      <c r="B142">
        <v>132.20566700004582</v>
      </c>
      <c r="C142">
        <f>DTDRpat_result0__4[[#This Row],[gap of angle (rad)2]]*10000</f>
        <v>1.1079389132760105</v>
      </c>
      <c r="D142">
        <v>1.1079389132760105E-4</v>
      </c>
      <c r="E142" t="s">
        <v>7</v>
      </c>
    </row>
    <row r="143" spans="1:5" x14ac:dyDescent="0.3">
      <c r="A143" t="s">
        <v>6</v>
      </c>
      <c r="B143">
        <v>132.20566700004582</v>
      </c>
      <c r="C143">
        <f>DTDRpat_result0__4[[#This Row],[gap of angle (rad)2]]*10000</f>
        <v>1.0863584548698313</v>
      </c>
      <c r="D143">
        <v>1.0863584548698313E-4</v>
      </c>
      <c r="E143" t="s">
        <v>8</v>
      </c>
    </row>
    <row r="144" spans="1:5" hidden="1" x14ac:dyDescent="0.3">
      <c r="A144" t="s">
        <v>6</v>
      </c>
      <c r="B144">
        <v>134.09083000004341</v>
      </c>
      <c r="C144">
        <f>DTDRpat_result0__4[[#This Row],[gap of angle (rad)2]]*10000</f>
        <v>1.0973390545964719</v>
      </c>
      <c r="D144">
        <v>1.0973390545964718E-4</v>
      </c>
      <c r="E144" t="s">
        <v>7</v>
      </c>
    </row>
    <row r="145" spans="1:5" x14ac:dyDescent="0.3">
      <c r="A145" t="s">
        <v>6</v>
      </c>
      <c r="B145">
        <v>134.09083000004341</v>
      </c>
      <c r="C145">
        <f>DTDRpat_result0__4[[#This Row],[gap of angle (rad)2]]*10000</f>
        <v>1.0760767680335266</v>
      </c>
      <c r="D145">
        <v>1.0760767680335265E-4</v>
      </c>
      <c r="E145" t="s">
        <v>8</v>
      </c>
    </row>
    <row r="146" spans="1:5" hidden="1" x14ac:dyDescent="0.3">
      <c r="A146" t="s">
        <v>6</v>
      </c>
      <c r="B146">
        <v>135.96973000004098</v>
      </c>
      <c r="C146">
        <f>DTDRpat_result0__4[[#This Row],[gap of angle (rad)2]]*10000</f>
        <v>1.0869068064301306</v>
      </c>
      <c r="D146">
        <v>1.0869068064301305E-4</v>
      </c>
      <c r="E146" t="s">
        <v>7</v>
      </c>
    </row>
    <row r="147" spans="1:5" x14ac:dyDescent="0.3">
      <c r="A147" t="s">
        <v>6</v>
      </c>
      <c r="B147">
        <v>135.96973000004098</v>
      </c>
      <c r="C147">
        <f>DTDRpat_result0__4[[#This Row],[gap of angle (rad)2]]*10000</f>
        <v>1.0660443087139939</v>
      </c>
      <c r="D147">
        <v>1.066044308713994E-4</v>
      </c>
      <c r="E147" t="s">
        <v>8</v>
      </c>
    </row>
    <row r="148" spans="1:5" hidden="1" x14ac:dyDescent="0.3">
      <c r="A148" t="s">
        <v>6</v>
      </c>
      <c r="B148">
        <v>137.86115600003856</v>
      </c>
      <c r="C148">
        <f>DTDRpat_result0__4[[#This Row],[gap of angle (rad)2]]*10000</f>
        <v>1.0765809296653306</v>
      </c>
      <c r="D148">
        <v>1.0765809296653306E-4</v>
      </c>
      <c r="E148" t="s">
        <v>7</v>
      </c>
    </row>
    <row r="149" spans="1:5" x14ac:dyDescent="0.3">
      <c r="A149" t="s">
        <v>6</v>
      </c>
      <c r="B149">
        <v>137.86115600003856</v>
      </c>
      <c r="C149">
        <f>DTDRpat_result0__4[[#This Row],[gap of angle (rad)2]]*10000</f>
        <v>1.0561976906217887</v>
      </c>
      <c r="D149">
        <v>1.0561976906217887E-4</v>
      </c>
      <c r="E149" t="s">
        <v>8</v>
      </c>
    </row>
    <row r="150" spans="1:5" hidden="1" x14ac:dyDescent="0.3">
      <c r="A150" t="s">
        <v>6</v>
      </c>
      <c r="B150">
        <v>139.75258200003611</v>
      </c>
      <c r="C150">
        <f>DTDRpat_result0__4[[#This Row],[gap of angle (rad)2]]*10000</f>
        <v>1.0664707667027784</v>
      </c>
      <c r="D150">
        <v>1.0664707667027784E-4</v>
      </c>
      <c r="E150" t="s">
        <v>7</v>
      </c>
    </row>
    <row r="151" spans="1:5" x14ac:dyDescent="0.3">
      <c r="A151" t="s">
        <v>6</v>
      </c>
      <c r="B151">
        <v>139.75258200003611</v>
      </c>
      <c r="C151">
        <f>DTDRpat_result0__4[[#This Row],[gap of angle (rad)2]]*10000</f>
        <v>1.0466374404567385</v>
      </c>
      <c r="D151">
        <v>1.0466374404567384E-4</v>
      </c>
      <c r="E151" t="s">
        <v>8</v>
      </c>
    </row>
    <row r="152" spans="1:5" hidden="1" x14ac:dyDescent="0.3">
      <c r="A152" t="s">
        <v>6</v>
      </c>
      <c r="B152">
        <v>141.64400800003369</v>
      </c>
      <c r="C152">
        <f>DTDRpat_result0__4[[#This Row],[gap of angle (rad)2]]*10000</f>
        <v>1.0566126139608285</v>
      </c>
      <c r="D152">
        <v>1.0566126139608284E-4</v>
      </c>
      <c r="E152" t="s">
        <v>7</v>
      </c>
    </row>
    <row r="153" spans="1:5" x14ac:dyDescent="0.3">
      <c r="A153" t="s">
        <v>6</v>
      </c>
      <c r="B153">
        <v>141.64400800003369</v>
      </c>
      <c r="C153">
        <f>DTDRpat_result0__4[[#This Row],[gap of angle (rad)2]]*10000</f>
        <v>1.0373935969700396</v>
      </c>
      <c r="D153">
        <v>1.0373935969700397E-4</v>
      </c>
      <c r="E153" t="s">
        <v>8</v>
      </c>
    </row>
    <row r="154" spans="1:5" hidden="1" x14ac:dyDescent="0.3">
      <c r="A154" t="s">
        <v>6</v>
      </c>
      <c r="B154">
        <v>143.52917100003125</v>
      </c>
      <c r="C154">
        <f>DTDRpat_result0__4[[#This Row],[gap of angle (rad)2]]*10000</f>
        <v>1.0470707105045247</v>
      </c>
      <c r="D154">
        <v>1.0470707105045248E-4</v>
      </c>
      <c r="E154" t="s">
        <v>7</v>
      </c>
    </row>
    <row r="155" spans="1:5" x14ac:dyDescent="0.3">
      <c r="A155" t="s">
        <v>6</v>
      </c>
      <c r="B155">
        <v>143.52917100003125</v>
      </c>
      <c r="C155">
        <f>DTDRpat_result0__4[[#This Row],[gap of angle (rad)2]]*10000</f>
        <v>1.0285221123902235</v>
      </c>
      <c r="D155">
        <v>1.0285221123902235E-4</v>
      </c>
      <c r="E155" t="s">
        <v>8</v>
      </c>
    </row>
    <row r="156" spans="1:5" hidden="1" x14ac:dyDescent="0.3">
      <c r="A156" t="s">
        <v>6</v>
      </c>
      <c r="B156">
        <v>145.42059700002883</v>
      </c>
      <c r="C156">
        <f>DTDRpat_result0__4[[#This Row],[gap of angle (rad)2]]*10000</f>
        <v>1.0378116843268232</v>
      </c>
      <c r="D156">
        <v>1.0378116843268233E-4</v>
      </c>
      <c r="E156" t="s">
        <v>7</v>
      </c>
    </row>
    <row r="157" spans="1:5" x14ac:dyDescent="0.3">
      <c r="A157" t="s">
        <v>6</v>
      </c>
      <c r="B157">
        <v>145.42059700002883</v>
      </c>
      <c r="C157">
        <f>DTDRpat_result0__4[[#This Row],[gap of angle (rad)2]]*10000</f>
        <v>1.0199883482239953</v>
      </c>
      <c r="D157">
        <v>1.0199883482239953E-4</v>
      </c>
      <c r="E157" t="s">
        <v>8</v>
      </c>
    </row>
    <row r="158" spans="1:5" hidden="1" x14ac:dyDescent="0.3">
      <c r="A158" t="s">
        <v>6</v>
      </c>
      <c r="B158">
        <v>147.30576000002642</v>
      </c>
      <c r="C158">
        <f>DTDRpat_result0__4[[#This Row],[gap of angle (rad)2]]*10000</f>
        <v>1.0289239076536425</v>
      </c>
      <c r="D158">
        <v>1.0289239076536426E-4</v>
      </c>
      <c r="E158" t="s">
        <v>7</v>
      </c>
    </row>
    <row r="159" spans="1:5" x14ac:dyDescent="0.3">
      <c r="A159" t="s">
        <v>6</v>
      </c>
      <c r="B159">
        <v>147.30576000002642</v>
      </c>
      <c r="C159">
        <f>DTDRpat_result0__4[[#This Row],[gap of angle (rad)2]]*10000</f>
        <v>1.0118704474579283</v>
      </c>
      <c r="D159">
        <v>1.0118704474579282E-4</v>
      </c>
      <c r="E159" t="s">
        <v>8</v>
      </c>
    </row>
    <row r="160" spans="1:5" hidden="1" x14ac:dyDescent="0.3">
      <c r="A160" t="s">
        <v>6</v>
      </c>
      <c r="B160">
        <v>149.184660000024</v>
      </c>
      <c r="C160">
        <f>DTDRpat_result0__4[[#This Row],[gap of angle (rad)2]]*10000</f>
        <v>1.0204280700516775</v>
      </c>
      <c r="D160">
        <v>1.0204280700516775E-4</v>
      </c>
      <c r="E160" t="s">
        <v>7</v>
      </c>
    </row>
    <row r="161" spans="1:5" x14ac:dyDescent="0.3">
      <c r="A161" t="s">
        <v>6</v>
      </c>
      <c r="B161">
        <v>149.184660000024</v>
      </c>
      <c r="C161">
        <f>DTDRpat_result0__4[[#This Row],[gap of angle (rad)2]]*10000</f>
        <v>1.0041837363589583</v>
      </c>
      <c r="D161">
        <v>1.0041837363589584E-4</v>
      </c>
      <c r="E161" t="s">
        <v>8</v>
      </c>
    </row>
    <row r="162" spans="1:5" hidden="1" x14ac:dyDescent="0.3">
      <c r="A162" t="s">
        <v>6</v>
      </c>
      <c r="B162">
        <v>151.07608600002158</v>
      </c>
      <c r="C162">
        <f>DTDRpat_result0__4[[#This Row],[gap of angle (rad)2]]*10000</f>
        <v>1.0122628503488318</v>
      </c>
      <c r="D162">
        <v>1.0122628503488317E-4</v>
      </c>
      <c r="E162" t="s">
        <v>7</v>
      </c>
    </row>
    <row r="163" spans="1:5" x14ac:dyDescent="0.3">
      <c r="A163" t="s">
        <v>6</v>
      </c>
      <c r="B163">
        <v>151.07608600002158</v>
      </c>
      <c r="C163">
        <f>DTDRpat_result0__4[[#This Row],[gap of angle (rad)2]]*10000</f>
        <v>0.99687048877197149</v>
      </c>
      <c r="D163">
        <v>9.9687048877197153E-5</v>
      </c>
      <c r="E163" t="s">
        <v>8</v>
      </c>
    </row>
    <row r="164" spans="1:5" hidden="1" x14ac:dyDescent="0.3">
      <c r="A164" t="s">
        <v>6</v>
      </c>
      <c r="B164">
        <v>152.95498600001915</v>
      </c>
      <c r="C164">
        <f>DTDRpat_result0__4[[#This Row],[gap of angle (rad)2]]*10000</f>
        <v>1.0045556789226497</v>
      </c>
      <c r="D164">
        <v>1.0045556789226498E-4</v>
      </c>
      <c r="E164" t="s">
        <v>7</v>
      </c>
    </row>
    <row r="165" spans="1:5" x14ac:dyDescent="0.3">
      <c r="A165" t="s">
        <v>6</v>
      </c>
      <c r="B165">
        <v>152.95498600001915</v>
      </c>
      <c r="C165">
        <f>DTDRpat_result0__4[[#This Row],[gap of angle (rad)2]]*10000</f>
        <v>0.99004255862360946</v>
      </c>
      <c r="D165">
        <v>9.9004255862360951E-5</v>
      </c>
      <c r="E165" t="s">
        <v>8</v>
      </c>
    </row>
    <row r="166" spans="1:5" hidden="1" x14ac:dyDescent="0.3">
      <c r="A166" t="s">
        <v>6</v>
      </c>
      <c r="B166">
        <v>154.8464120000167</v>
      </c>
      <c r="C166">
        <f>DTDRpat_result0__4[[#This Row],[gap of angle (rad)2]]*10000</f>
        <v>0.99722103367628179</v>
      </c>
      <c r="D166">
        <v>9.9722103367628183E-5</v>
      </c>
      <c r="E166" t="s">
        <v>7</v>
      </c>
    </row>
    <row r="167" spans="1:5" x14ac:dyDescent="0.3">
      <c r="A167" t="s">
        <v>6</v>
      </c>
      <c r="B167">
        <v>154.8464120000167</v>
      </c>
      <c r="C167">
        <f>DTDRpat_result0__4[[#This Row],[gap of angle (rad)2]]*10000</f>
        <v>0.9836221856724735</v>
      </c>
      <c r="D167">
        <v>9.8362218567247354E-5</v>
      </c>
      <c r="E167" t="s">
        <v>8</v>
      </c>
    </row>
    <row r="168" spans="1:5" hidden="1" x14ac:dyDescent="0.3">
      <c r="A168" t="s">
        <v>6</v>
      </c>
      <c r="B168">
        <v>156.7253120000143</v>
      </c>
      <c r="C168">
        <f>DTDRpat_result0__4[[#This Row],[gap of angle (rad)2]]*10000</f>
        <v>0.99037116083575494</v>
      </c>
      <c r="D168">
        <v>9.9037116083575499E-5</v>
      </c>
      <c r="E168" t="s">
        <v>7</v>
      </c>
    </row>
    <row r="169" spans="1:5" x14ac:dyDescent="0.3">
      <c r="A169" t="s">
        <v>6</v>
      </c>
      <c r="B169">
        <v>156.7253120000143</v>
      </c>
      <c r="C169">
        <f>DTDRpat_result0__4[[#This Row],[gap of angle (rad)2]]*10000</f>
        <v>0.97770590758831932</v>
      </c>
      <c r="D169">
        <v>9.777059075883193E-5</v>
      </c>
      <c r="E169" t="s">
        <v>8</v>
      </c>
    </row>
    <row r="170" spans="1:5" hidden="1" x14ac:dyDescent="0.3">
      <c r="A170" t="s">
        <v>6</v>
      </c>
      <c r="B170">
        <v>158.60421200001187</v>
      </c>
      <c r="C170">
        <f>DTDRpat_result0__4[[#This Row],[gap of angle (rad)2]]*10000</f>
        <v>0.98396921370172974</v>
      </c>
      <c r="D170">
        <v>9.8396921370172972E-5</v>
      </c>
      <c r="E170" t="s">
        <v>7</v>
      </c>
    </row>
    <row r="171" spans="1:5" x14ac:dyDescent="0.3">
      <c r="A171" t="s">
        <v>6</v>
      </c>
      <c r="B171">
        <v>158.60421200001187</v>
      </c>
      <c r="C171">
        <f>DTDRpat_result0__4[[#This Row],[gap of angle (rad)2]]*10000</f>
        <v>0.97225956940896907</v>
      </c>
      <c r="D171">
        <v>9.7225956940896903E-5</v>
      </c>
      <c r="E171" t="s">
        <v>8</v>
      </c>
    </row>
    <row r="172" spans="1:5" hidden="1" x14ac:dyDescent="0.3">
      <c r="A172" t="s">
        <v>6</v>
      </c>
      <c r="B172">
        <v>160.48311200000947</v>
      </c>
      <c r="C172">
        <f>DTDRpat_result0__4[[#This Row],[gap of angle (rad)2]]*10000</f>
        <v>0.97802673551324559</v>
      </c>
      <c r="D172">
        <v>9.7802673551324561E-5</v>
      </c>
      <c r="E172" t="s">
        <v>7</v>
      </c>
    </row>
    <row r="173" spans="1:5" x14ac:dyDescent="0.3">
      <c r="A173" t="s">
        <v>6</v>
      </c>
      <c r="B173">
        <v>160.48311200000947</v>
      </c>
      <c r="C173">
        <f>DTDRpat_result0__4[[#This Row],[gap of angle (rad)2]]*10000</f>
        <v>0.96729178634621782</v>
      </c>
      <c r="D173">
        <v>9.6729178634621786E-5</v>
      </c>
      <c r="E173" t="s">
        <v>8</v>
      </c>
    </row>
    <row r="174" spans="1:5" hidden="1" x14ac:dyDescent="0.3">
      <c r="A174" t="s">
        <v>6</v>
      </c>
      <c r="B174">
        <v>162.37453800000702</v>
      </c>
      <c r="C174">
        <f>DTDRpat_result0__4[[#This Row],[gap of angle (rad)2]]*10000</f>
        <v>0.97251884886691664</v>
      </c>
      <c r="D174">
        <v>9.7251884886691666E-5</v>
      </c>
      <c r="E174" t="s">
        <v>7</v>
      </c>
    </row>
    <row r="175" spans="1:5" x14ac:dyDescent="0.3">
      <c r="A175" t="s">
        <v>6</v>
      </c>
      <c r="B175">
        <v>162.37453800000702</v>
      </c>
      <c r="C175">
        <f>DTDRpat_result0__4[[#This Row],[gap of angle (rad)2]]*10000</f>
        <v>0.96278163373122527</v>
      </c>
      <c r="D175">
        <v>9.6278163373122528E-5</v>
      </c>
      <c r="E175" t="s">
        <v>8</v>
      </c>
    </row>
    <row r="176" spans="1:5" hidden="1" x14ac:dyDescent="0.3">
      <c r="A176" t="s">
        <v>6</v>
      </c>
      <c r="B176">
        <v>164.2659640000046</v>
      </c>
      <c r="C176">
        <f>DTDRpat_result0__4[[#This Row],[gap of angle (rad)2]]*10000</f>
        <v>0.96749545864248498</v>
      </c>
      <c r="D176">
        <v>9.6749545864248501E-5</v>
      </c>
      <c r="E176" t="s">
        <v>7</v>
      </c>
    </row>
    <row r="177" spans="1:5" x14ac:dyDescent="0.3">
      <c r="A177" t="s">
        <v>6</v>
      </c>
      <c r="B177">
        <v>164.2659640000046</v>
      </c>
      <c r="C177">
        <f>DTDRpat_result0__4[[#This Row],[gap of angle (rad)2]]*10000</f>
        <v>0.95877021699941167</v>
      </c>
      <c r="D177">
        <v>9.5877021699941164E-5</v>
      </c>
      <c r="E177" t="s">
        <v>8</v>
      </c>
    </row>
    <row r="178" spans="1:5" hidden="1" x14ac:dyDescent="0.3">
      <c r="A178" t="s">
        <v>6</v>
      </c>
      <c r="B178">
        <v>166.14486400000217</v>
      </c>
      <c r="C178">
        <f>DTDRpat_result0__4[[#This Row],[gap of angle (rad)2]]*10000</f>
        <v>0.96299249707579848</v>
      </c>
      <c r="D178">
        <v>9.6299249707579844E-5</v>
      </c>
      <c r="E178" t="s">
        <v>7</v>
      </c>
    </row>
    <row r="179" spans="1:5" x14ac:dyDescent="0.3">
      <c r="A179" t="s">
        <v>6</v>
      </c>
      <c r="B179">
        <v>166.14486400000217</v>
      </c>
      <c r="C179">
        <f>DTDRpat_result0__4[[#This Row],[gap of angle (rad)2]]*10000</f>
        <v>0.9552844366525538</v>
      </c>
      <c r="D179">
        <v>9.5528443665255383E-5</v>
      </c>
      <c r="E179" t="s">
        <v>8</v>
      </c>
    </row>
    <row r="180" spans="1:5" hidden="1" x14ac:dyDescent="0.3">
      <c r="A180" t="s">
        <v>6</v>
      </c>
      <c r="B180">
        <v>168.03628999999975</v>
      </c>
      <c r="C180">
        <f>DTDRpat_result0__4[[#This Row],[gap of angle (rad)2]]*10000</f>
        <v>0.95895633034231653</v>
      </c>
      <c r="D180">
        <v>9.5895633034231658E-5</v>
      </c>
      <c r="E180" t="s">
        <v>7</v>
      </c>
    </row>
    <row r="181" spans="1:5" x14ac:dyDescent="0.3">
      <c r="A181" t="s">
        <v>6</v>
      </c>
      <c r="B181">
        <v>168.03628999999975</v>
      </c>
      <c r="C181">
        <f>DTDRpat_result0__4[[#This Row],[gap of angle (rad)2]]*10000</f>
        <v>0.95228223078300656</v>
      </c>
      <c r="D181">
        <v>9.5228223078300654E-5</v>
      </c>
      <c r="E181" t="s">
        <v>8</v>
      </c>
    </row>
    <row r="182" spans="1:5" hidden="1" x14ac:dyDescent="0.3">
      <c r="A182" t="s">
        <v>6</v>
      </c>
      <c r="B182">
        <v>169.9277159999973</v>
      </c>
      <c r="C182">
        <f>DTDRpat_result0__4[[#This Row],[gap of angle (rad)2]]*10000</f>
        <v>0.95542399398227762</v>
      </c>
      <c r="D182">
        <v>9.5542399398227762E-5</v>
      </c>
      <c r="E182" t="s">
        <v>7</v>
      </c>
    </row>
    <row r="183" spans="1:5" x14ac:dyDescent="0.3">
      <c r="A183" t="s">
        <v>6</v>
      </c>
      <c r="B183">
        <v>169.9277159999973</v>
      </c>
      <c r="C183">
        <f>DTDRpat_result0__4[[#This Row],[gap of angle (rad)2]]*10000</f>
        <v>0.94979215979972509</v>
      </c>
      <c r="D183">
        <v>9.4979215979972513E-5</v>
      </c>
      <c r="E183" t="s">
        <v>8</v>
      </c>
    </row>
    <row r="184" spans="1:5" hidden="1" x14ac:dyDescent="0.3">
      <c r="A184" t="s">
        <v>6</v>
      </c>
      <c r="B184">
        <v>171.8066159999949</v>
      </c>
      <c r="C184">
        <f>DTDRpat_result0__4[[#This Row],[gap of angle (rad)2]]*10000</f>
        <v>0.95241834628810118</v>
      </c>
      <c r="D184">
        <v>9.5241834628810121E-5</v>
      </c>
      <c r="E184" t="s">
        <v>7</v>
      </c>
    </row>
    <row r="185" spans="1:5" x14ac:dyDescent="0.3">
      <c r="A185" t="s">
        <v>6</v>
      </c>
      <c r="B185">
        <v>171.8066159999949</v>
      </c>
      <c r="C185">
        <f>DTDRpat_result0__4[[#This Row],[gap of angle (rad)2]]*10000</f>
        <v>0.94782850931454143</v>
      </c>
      <c r="D185">
        <v>9.4782850931454139E-5</v>
      </c>
      <c r="E185" t="s">
        <v>8</v>
      </c>
    </row>
    <row r="186" spans="1:5" hidden="1" x14ac:dyDescent="0.3">
      <c r="A186" t="s">
        <v>6</v>
      </c>
      <c r="B186">
        <v>173.69804199999245</v>
      </c>
      <c r="C186">
        <f>DTDRpat_result0__4[[#This Row],[gap of angle (rad)2]]*10000</f>
        <v>0.94990291940017213</v>
      </c>
      <c r="D186">
        <v>9.4990291940017215E-5</v>
      </c>
      <c r="E186" t="s">
        <v>7</v>
      </c>
    </row>
    <row r="187" spans="1:5" x14ac:dyDescent="0.3">
      <c r="A187" t="s">
        <v>6</v>
      </c>
      <c r="B187">
        <v>173.69804199999245</v>
      </c>
      <c r="C187">
        <f>DTDRpat_result0__4[[#This Row],[gap of angle (rad)2]]*10000</f>
        <v>0.94636729268079445</v>
      </c>
      <c r="D187">
        <v>9.4636729268079444E-5</v>
      </c>
      <c r="E187" t="s">
        <v>8</v>
      </c>
    </row>
    <row r="188" spans="1:5" hidden="1" x14ac:dyDescent="0.3">
      <c r="A188" t="s">
        <v>6</v>
      </c>
      <c r="B188">
        <v>175.58946799999003</v>
      </c>
      <c r="C188">
        <f>DTDRpat_result0__4[[#This Row],[gap of angle (rad)2]]*10000</f>
        <v>0.94790242927202362</v>
      </c>
      <c r="D188">
        <v>9.4790242927202367E-5</v>
      </c>
      <c r="E188" t="s">
        <v>7</v>
      </c>
    </row>
    <row r="189" spans="1:5" x14ac:dyDescent="0.3">
      <c r="A189" t="s">
        <v>6</v>
      </c>
      <c r="B189">
        <v>175.58946799999003</v>
      </c>
      <c r="C189">
        <f>DTDRpat_result0__4[[#This Row],[gap of angle (rad)2]]*10000</f>
        <v>0.94542489617944503</v>
      </c>
      <c r="D189">
        <v>9.4542489617944499E-5</v>
      </c>
      <c r="E189" t="s">
        <v>8</v>
      </c>
    </row>
    <row r="190" spans="1:5" hidden="1" x14ac:dyDescent="0.3">
      <c r="A190" t="s">
        <v>6</v>
      </c>
      <c r="B190">
        <v>177.48089399998759</v>
      </c>
      <c r="C190">
        <f>DTDRpat_result0__4[[#This Row],[gap of angle (rad)2]]*10000</f>
        <v>0.94641910893542203</v>
      </c>
      <c r="D190">
        <v>9.4641910893542198E-5</v>
      </c>
      <c r="E190" t="s">
        <v>7</v>
      </c>
    </row>
    <row r="191" spans="1:5" x14ac:dyDescent="0.3">
      <c r="A191" t="s">
        <v>6</v>
      </c>
      <c r="B191">
        <v>177.48089399998759</v>
      </c>
      <c r="C191">
        <f>DTDRpat_result0__4[[#This Row],[gap of angle (rad)2]]*10000</f>
        <v>0.94500233155482027</v>
      </c>
      <c r="D191">
        <v>9.4500233155482029E-5</v>
      </c>
      <c r="E191" t="s">
        <v>8</v>
      </c>
    </row>
    <row r="192" spans="1:5" hidden="1" x14ac:dyDescent="0.3">
      <c r="A192" t="s">
        <v>6</v>
      </c>
      <c r="B192">
        <v>179.36605699998518</v>
      </c>
      <c r="C192">
        <f>DTDRpat_result0__4[[#This Row],[gap of angle (rad)2]]*10000</f>
        <v>0.9454568486467293</v>
      </c>
      <c r="D192">
        <v>9.4545684864672932E-5</v>
      </c>
      <c r="E192" t="s">
        <v>7</v>
      </c>
    </row>
    <row r="193" spans="1:5" x14ac:dyDescent="0.3">
      <c r="A193" t="s">
        <v>6</v>
      </c>
      <c r="B193">
        <v>179.36605699998518</v>
      </c>
      <c r="C193">
        <f>DTDRpat_result0__4[[#This Row],[gap of angle (rad)2]]*10000</f>
        <v>0.9450988981633438</v>
      </c>
      <c r="D193">
        <v>9.4509889816334384E-5</v>
      </c>
      <c r="E193" t="s">
        <v>8</v>
      </c>
    </row>
    <row r="194" spans="1:5" hidden="1" x14ac:dyDescent="0.3">
      <c r="A194" t="s">
        <v>6</v>
      </c>
      <c r="B194">
        <v>181.25748299998276</v>
      </c>
      <c r="C194">
        <f>DTDRpat_result0__4[[#This Row],[gap of angle (rad)2]]*10000</f>
        <v>0.94501035565256397</v>
      </c>
      <c r="D194">
        <v>9.4501035565256397E-5</v>
      </c>
      <c r="E194" t="s">
        <v>7</v>
      </c>
    </row>
    <row r="195" spans="1:5" x14ac:dyDescent="0.3">
      <c r="A195" t="s">
        <v>6</v>
      </c>
      <c r="B195">
        <v>181.25748299998276</v>
      </c>
      <c r="C195">
        <f>DTDRpat_result0__4[[#This Row],[gap of angle (rad)2]]*10000</f>
        <v>0.94571508265322923</v>
      </c>
      <c r="D195">
        <v>9.4571508265322923E-5</v>
      </c>
      <c r="E195" t="s">
        <v>8</v>
      </c>
    </row>
    <row r="196" spans="1:5" hidden="1" x14ac:dyDescent="0.3">
      <c r="A196" t="s">
        <v>6</v>
      </c>
      <c r="B196">
        <v>183.14890899998031</v>
      </c>
      <c r="C196">
        <f>DTDRpat_result0__4[[#This Row],[gap of angle (rad)2]]*10000</f>
        <v>0.94508415535951462</v>
      </c>
      <c r="D196">
        <v>9.4508415535951457E-5</v>
      </c>
      <c r="E196" t="s">
        <v>7</v>
      </c>
    </row>
    <row r="197" spans="1:5" x14ac:dyDescent="0.3">
      <c r="A197" t="s">
        <v>6</v>
      </c>
      <c r="B197">
        <v>183.14890899998031</v>
      </c>
      <c r="C197">
        <f>DTDRpat_result0__4[[#This Row],[gap of angle (rad)2]]*10000</f>
        <v>0.94685086722667677</v>
      </c>
      <c r="D197">
        <v>9.4685086722667681E-5</v>
      </c>
      <c r="E197" t="s">
        <v>8</v>
      </c>
    </row>
    <row r="198" spans="1:5" hidden="1" x14ac:dyDescent="0.3">
      <c r="A198" t="s">
        <v>6</v>
      </c>
      <c r="B198">
        <v>185.0340719999779</v>
      </c>
      <c r="C198">
        <f>DTDRpat_result0__4[[#This Row],[gap of angle (rad)2]]*10000</f>
        <v>0.94567534358199534</v>
      </c>
      <c r="D198">
        <v>9.4567534358199539E-5</v>
      </c>
      <c r="E198" t="s">
        <v>7</v>
      </c>
    </row>
    <row r="199" spans="1:5" x14ac:dyDescent="0.3">
      <c r="A199" t="s">
        <v>6</v>
      </c>
      <c r="B199">
        <v>185.0340719999779</v>
      </c>
      <c r="C199">
        <f>DTDRpat_result0__4[[#This Row],[gap of angle (rad)2]]*10000</f>
        <v>0.9484985796127865</v>
      </c>
      <c r="D199">
        <v>9.4849857961278654E-5</v>
      </c>
      <c r="E199" t="s">
        <v>8</v>
      </c>
    </row>
    <row r="200" spans="1:5" hidden="1" x14ac:dyDescent="0.3">
      <c r="A200" t="s">
        <v>6</v>
      </c>
      <c r="B200">
        <v>186.92549799997545</v>
      </c>
      <c r="C200">
        <f>DTDRpat_result0__4[[#This Row],[gap of angle (rad)2]]*10000</f>
        <v>0.94678719601991645</v>
      </c>
      <c r="D200">
        <v>9.4678719601991646E-5</v>
      </c>
      <c r="E200" t="s">
        <v>7</v>
      </c>
    </row>
    <row r="201" spans="1:5" x14ac:dyDescent="0.3">
      <c r="A201" t="s">
        <v>6</v>
      </c>
      <c r="B201">
        <v>186.92549799997545</v>
      </c>
      <c r="C201">
        <f>DTDRpat_result0__4[[#This Row],[gap of angle (rad)2]]*10000</f>
        <v>0.95066739986153082</v>
      </c>
      <c r="D201">
        <v>9.5066739986153083E-5</v>
      </c>
      <c r="E201" t="s">
        <v>8</v>
      </c>
    </row>
    <row r="202" spans="1:5" hidden="1" x14ac:dyDescent="0.3">
      <c r="A202" t="s">
        <v>6</v>
      </c>
      <c r="B202">
        <v>188.81066099997304</v>
      </c>
      <c r="C202">
        <f>DTDRpat_result0__4[[#This Row],[gap of angle (rad)2]]*10000</f>
        <v>0.9484111856284636</v>
      </c>
      <c r="D202">
        <v>9.4841118562846358E-5</v>
      </c>
      <c r="E202" t="s">
        <v>7</v>
      </c>
    </row>
    <row r="203" spans="1:5" x14ac:dyDescent="0.3">
      <c r="A203" t="s">
        <v>6</v>
      </c>
      <c r="B203">
        <v>188.81066099997304</v>
      </c>
      <c r="C203">
        <f>DTDRpat_result0__4[[#This Row],[gap of angle (rad)2]]*10000</f>
        <v>0.95334051890595828</v>
      </c>
      <c r="D203">
        <v>9.533405189059583E-5</v>
      </c>
      <c r="E203" t="s">
        <v>8</v>
      </c>
    </row>
    <row r="204" spans="1:5" hidden="1" x14ac:dyDescent="0.3">
      <c r="A204" t="s">
        <v>6</v>
      </c>
      <c r="B204">
        <v>190.6958239999706</v>
      </c>
      <c r="C204">
        <f>DTDRpat_result0__4[[#This Row],[gap of angle (rad)2]]*10000</f>
        <v>0.95054831990802091</v>
      </c>
      <c r="D204">
        <v>9.5054831990802087E-5</v>
      </c>
      <c r="E204" t="s">
        <v>7</v>
      </c>
    </row>
    <row r="205" spans="1:5" x14ac:dyDescent="0.3">
      <c r="A205" t="s">
        <v>6</v>
      </c>
      <c r="B205">
        <v>190.6958239999706</v>
      </c>
      <c r="C205">
        <f>DTDRpat_result0__4[[#This Row],[gap of angle (rad)2]]*10000</f>
        <v>0.95652111396377892</v>
      </c>
      <c r="D205">
        <v>9.5652111396377892E-5</v>
      </c>
      <c r="E205" t="s">
        <v>8</v>
      </c>
    </row>
    <row r="206" spans="1:5" hidden="1" x14ac:dyDescent="0.3">
      <c r="A206" t="s">
        <v>6</v>
      </c>
      <c r="B206">
        <v>192.5747239999682</v>
      </c>
      <c r="C206">
        <f>DTDRpat_result0__4[[#This Row],[gap of angle (rad)2]]*10000</f>
        <v>0.95318658647355503</v>
      </c>
      <c r="D206">
        <v>9.5318658647355499E-5</v>
      </c>
      <c r="E206" t="s">
        <v>7</v>
      </c>
    </row>
    <row r="207" spans="1:5" x14ac:dyDescent="0.3">
      <c r="A207" t="s">
        <v>6</v>
      </c>
      <c r="B207">
        <v>192.5747239999682</v>
      </c>
      <c r="C207">
        <f>DTDRpat_result0__4[[#This Row],[gap of angle (rad)2]]*10000</f>
        <v>0.96019225594980318</v>
      </c>
      <c r="D207">
        <v>9.6019225594980322E-5</v>
      </c>
      <c r="E207" t="s">
        <v>8</v>
      </c>
    </row>
    <row r="208" spans="1:5" hidden="1" x14ac:dyDescent="0.3">
      <c r="A208" t="s">
        <v>6</v>
      </c>
      <c r="B208">
        <v>194.45988699996576</v>
      </c>
      <c r="C208">
        <f>DTDRpat_result0__4[[#This Row],[gap of angle (rad)2]]*10000</f>
        <v>0.95634048217580847</v>
      </c>
      <c r="D208">
        <v>9.5634048217580847E-5</v>
      </c>
      <c r="E208" t="s">
        <v>7</v>
      </c>
    </row>
    <row r="209" spans="1:5" x14ac:dyDescent="0.3">
      <c r="A209" t="s">
        <v>6</v>
      </c>
      <c r="B209">
        <v>194.45988699996576</v>
      </c>
      <c r="C209">
        <f>DTDRpat_result0__4[[#This Row],[gap of angle (rad)2]]*10000</f>
        <v>0.96437371615018042</v>
      </c>
      <c r="D209">
        <v>9.6437371615018039E-5</v>
      </c>
      <c r="E209" t="s">
        <v>8</v>
      </c>
    </row>
    <row r="210" spans="1:5" hidden="1" x14ac:dyDescent="0.3">
      <c r="A210" t="s">
        <v>6</v>
      </c>
      <c r="B210">
        <v>196.33878699996336</v>
      </c>
      <c r="C210">
        <f>DTDRpat_result0__4[[#This Row],[gap of angle (rad)2]]*10000</f>
        <v>0.95998523005781933</v>
      </c>
      <c r="D210">
        <v>9.5998523005781937E-5</v>
      </c>
      <c r="E210" t="s">
        <v>7</v>
      </c>
    </row>
    <row r="211" spans="1:5" x14ac:dyDescent="0.3">
      <c r="A211" t="s">
        <v>6</v>
      </c>
      <c r="B211">
        <v>196.33878699996336</v>
      </c>
      <c r="C211">
        <f>DTDRpat_result0__4[[#This Row],[gap of angle (rad)2]]*10000</f>
        <v>0.96903207948288506</v>
      </c>
      <c r="D211">
        <v>9.6903207948288502E-5</v>
      </c>
      <c r="E211" t="s">
        <v>8</v>
      </c>
    </row>
    <row r="212" spans="1:5" hidden="1" x14ac:dyDescent="0.3">
      <c r="A212" t="s">
        <v>6</v>
      </c>
      <c r="B212">
        <v>198.23021299996091</v>
      </c>
      <c r="C212">
        <f>DTDRpat_result0__4[[#This Row],[gap of angle (rad)2]]*10000</f>
        <v>0.96415507139458778</v>
      </c>
      <c r="D212">
        <v>9.6415507139458782E-5</v>
      </c>
      <c r="E212" t="s">
        <v>7</v>
      </c>
    </row>
    <row r="213" spans="1:5" x14ac:dyDescent="0.3">
      <c r="A213" t="s">
        <v>6</v>
      </c>
      <c r="B213">
        <v>198.23021299996091</v>
      </c>
      <c r="C213">
        <f>DTDRpat_result0__4[[#This Row],[gap of angle (rad)2]]*10000</f>
        <v>0.97420964582406877</v>
      </c>
      <c r="D213">
        <v>9.7420964582406881E-5</v>
      </c>
      <c r="E213" t="s">
        <v>8</v>
      </c>
    </row>
    <row r="214" spans="1:5" hidden="1" x14ac:dyDescent="0.3">
      <c r="A214" t="s">
        <v>6</v>
      </c>
      <c r="B214">
        <v>200.1153759999585</v>
      </c>
      <c r="C214">
        <f>DTDRpat_result0__4[[#This Row],[gap of angle (rad)2]]*10000</f>
        <v>0.96880552458859337</v>
      </c>
      <c r="D214">
        <v>9.6880552458859334E-5</v>
      </c>
      <c r="E214" t="s">
        <v>7</v>
      </c>
    </row>
    <row r="215" spans="1:5" x14ac:dyDescent="0.3">
      <c r="A215" t="s">
        <v>6</v>
      </c>
      <c r="B215">
        <v>200.1153759999585</v>
      </c>
      <c r="C215">
        <f>DTDRpat_result0__4[[#This Row],[gap of angle (rad)2]]*10000</f>
        <v>0.97984961230194789</v>
      </c>
      <c r="D215">
        <v>9.7984961230194794E-5</v>
      </c>
      <c r="E215" t="s">
        <v>8</v>
      </c>
    </row>
    <row r="216" spans="1:5" hidden="1" x14ac:dyDescent="0.3">
      <c r="A216" t="s">
        <v>6</v>
      </c>
      <c r="B216">
        <v>202.00680199995605</v>
      </c>
      <c r="C216">
        <f>DTDRpat_result0__4[[#This Row],[gap of angle (rad)2]]*10000</f>
        <v>0.97396073370706004</v>
      </c>
      <c r="D216">
        <v>9.7396073370706009E-5</v>
      </c>
      <c r="E216" t="s">
        <v>7</v>
      </c>
    </row>
    <row r="217" spans="1:5" x14ac:dyDescent="0.3">
      <c r="A217" t="s">
        <v>6</v>
      </c>
      <c r="B217">
        <v>202.00680199995605</v>
      </c>
      <c r="C217">
        <f>DTDRpat_result0__4[[#This Row],[gap of angle (rad)2]]*10000</f>
        <v>0.98598017795271797</v>
      </c>
      <c r="D217">
        <v>9.8598017795271801E-5</v>
      </c>
      <c r="E217" t="s">
        <v>8</v>
      </c>
    </row>
    <row r="218" spans="1:5" hidden="1" x14ac:dyDescent="0.3">
      <c r="A218" t="s">
        <v>6</v>
      </c>
      <c r="B218">
        <v>203.89822799995363</v>
      </c>
      <c r="C218">
        <f>DTDRpat_result0__4[[#This Row],[gap of angle (rad)2]]*10000</f>
        <v>0.97959821190703655</v>
      </c>
      <c r="D218">
        <v>9.7959821190703655E-5</v>
      </c>
      <c r="E218" t="s">
        <v>7</v>
      </c>
    </row>
    <row r="219" spans="1:5" x14ac:dyDescent="0.3">
      <c r="A219" t="s">
        <v>6</v>
      </c>
      <c r="B219">
        <v>203.89822799995363</v>
      </c>
      <c r="C219">
        <f>DTDRpat_result0__4[[#This Row],[gap of angle (rad)2]]*10000</f>
        <v>0.99257274554550634</v>
      </c>
      <c r="D219">
        <v>9.9257274554550632E-5</v>
      </c>
      <c r="E219" t="s">
        <v>8</v>
      </c>
    </row>
    <row r="220" spans="1:5" hidden="1" x14ac:dyDescent="0.3">
      <c r="A220" t="s">
        <v>6</v>
      </c>
      <c r="B220">
        <v>205.78339099995119</v>
      </c>
      <c r="C220">
        <f>DTDRpat_result0__4[[#This Row],[gap of angle (rad)2]]*10000</f>
        <v>0.98568778875817098</v>
      </c>
      <c r="D220">
        <v>9.8568778875817096E-5</v>
      </c>
      <c r="E220" t="s">
        <v>7</v>
      </c>
    </row>
    <row r="221" spans="1:5" x14ac:dyDescent="0.3">
      <c r="A221" t="s">
        <v>6</v>
      </c>
      <c r="B221">
        <v>205.78339099995119</v>
      </c>
      <c r="C221">
        <f>DTDRpat_result0__4[[#This Row],[gap of angle (rad)2]]*10000</f>
        <v>0.99959104081793471</v>
      </c>
      <c r="D221">
        <v>9.9959104081793473E-5</v>
      </c>
      <c r="E221" t="s">
        <v>8</v>
      </c>
    </row>
    <row r="222" spans="1:5" hidden="1" x14ac:dyDescent="0.3">
      <c r="A222" t="s">
        <v>6</v>
      </c>
      <c r="B222">
        <v>207.66855399994878</v>
      </c>
      <c r="C222">
        <f>DTDRpat_result0__4[[#This Row],[gap of angle (rad)2]]*10000</f>
        <v>0.99223688345361583</v>
      </c>
      <c r="D222">
        <v>9.9223688345361581E-5</v>
      </c>
      <c r="E222" t="s">
        <v>7</v>
      </c>
    </row>
    <row r="223" spans="1:5" x14ac:dyDescent="0.3">
      <c r="A223" t="s">
        <v>6</v>
      </c>
      <c r="B223">
        <v>207.66855399994878</v>
      </c>
      <c r="C223">
        <f>DTDRpat_result0__4[[#This Row],[gap of angle (rad)2]]*10000</f>
        <v>1.0070422256618359</v>
      </c>
      <c r="D223">
        <v>1.0070422256618359E-4</v>
      </c>
      <c r="E223" t="s">
        <v>8</v>
      </c>
    </row>
    <row r="224" spans="1:5" hidden="1" x14ac:dyDescent="0.3">
      <c r="A224" t="s">
        <v>6</v>
      </c>
      <c r="B224">
        <v>209.55371699994635</v>
      </c>
      <c r="C224">
        <f>DTDRpat_result0__4[[#This Row],[gap of angle (rad)2]]*10000</f>
        <v>0.99923334985322321</v>
      </c>
      <c r="D224">
        <v>9.9923334985322317E-5</v>
      </c>
      <c r="E224" t="s">
        <v>7</v>
      </c>
    </row>
    <row r="225" spans="1:5" x14ac:dyDescent="0.3">
      <c r="A225" t="s">
        <v>6</v>
      </c>
      <c r="B225">
        <v>209.55371699994635</v>
      </c>
      <c r="C225">
        <f>DTDRpat_result0__4[[#This Row],[gap of angle (rad)2]]*10000</f>
        <v>1.0149104757476877</v>
      </c>
      <c r="D225">
        <v>1.0149104757476876E-4</v>
      </c>
      <c r="E225" t="s">
        <v>8</v>
      </c>
    </row>
    <row r="226" spans="1:5" hidden="1" x14ac:dyDescent="0.3">
      <c r="A226" t="s">
        <v>6</v>
      </c>
      <c r="B226">
        <v>211.43887999994394</v>
      </c>
      <c r="C226">
        <f>DTDRpat_result0__4[[#This Row],[gap of angle (rad)2]]*10000</f>
        <v>1.0066634817334237</v>
      </c>
      <c r="D226">
        <v>1.0066634817334236E-4</v>
      </c>
      <c r="E226" t="s">
        <v>7</v>
      </c>
    </row>
    <row r="227" spans="1:5" x14ac:dyDescent="0.3">
      <c r="A227" t="s">
        <v>6</v>
      </c>
      <c r="B227">
        <v>211.43887999994394</v>
      </c>
      <c r="C227">
        <f>DTDRpat_result0__4[[#This Row],[gap of angle (rad)2]]*10000</f>
        <v>1.0231779121142397</v>
      </c>
      <c r="D227">
        <v>1.0231779121142398E-4</v>
      </c>
      <c r="E227" t="s">
        <v>8</v>
      </c>
    </row>
    <row r="228" spans="1:5" hidden="1" x14ac:dyDescent="0.3">
      <c r="A228" t="s">
        <v>6</v>
      </c>
      <c r="B228">
        <v>213.3240429999415</v>
      </c>
      <c r="C228">
        <f>DTDRpat_result0__4[[#This Row],[gap of angle (rad)2]]*10000</f>
        <v>1.0145114584425881</v>
      </c>
      <c r="D228">
        <v>1.014511458442588E-4</v>
      </c>
      <c r="E228" t="s">
        <v>7</v>
      </c>
    </row>
    <row r="229" spans="1:5" x14ac:dyDescent="0.3">
      <c r="A229" t="s">
        <v>6</v>
      </c>
      <c r="B229">
        <v>213.3240429999415</v>
      </c>
      <c r="C229">
        <f>DTDRpat_result0__4[[#This Row],[gap of angle (rad)2]]*10000</f>
        <v>1.0318244702923542</v>
      </c>
      <c r="D229">
        <v>1.0318244702923544E-4</v>
      </c>
      <c r="E229" t="s">
        <v>8</v>
      </c>
    </row>
    <row r="230" spans="1:5" hidden="1" x14ac:dyDescent="0.3">
      <c r="A230" t="s">
        <v>6</v>
      </c>
      <c r="B230">
        <v>215.2029429999391</v>
      </c>
      <c r="C230">
        <f>DTDRpat_result0__4[[#This Row],[gap of angle (rad)2]]*10000</f>
        <v>1.0227315783719149</v>
      </c>
      <c r="D230">
        <v>1.0227315783719148E-4</v>
      </c>
      <c r="E230" t="s">
        <v>7</v>
      </c>
    </row>
    <row r="231" spans="1:5" x14ac:dyDescent="0.3">
      <c r="A231" t="s">
        <v>6</v>
      </c>
      <c r="B231">
        <v>215.2029429999391</v>
      </c>
      <c r="C231">
        <f>DTDRpat_result0__4[[#This Row],[gap of angle (rad)2]]*10000</f>
        <v>1.040797053270669</v>
      </c>
      <c r="D231">
        <v>1.040797053270669E-4</v>
      </c>
      <c r="E231" t="s">
        <v>8</v>
      </c>
    </row>
    <row r="232" spans="1:5" hidden="1" x14ac:dyDescent="0.3">
      <c r="A232" t="s">
        <v>6</v>
      </c>
      <c r="B232">
        <v>217.09436899993665</v>
      </c>
      <c r="C232">
        <f>DTDRpat_result0__4[[#This Row],[gap of angle (rad)2]]*10000</f>
        <v>1.0313879172052978</v>
      </c>
      <c r="D232">
        <v>1.0313879172052977E-4</v>
      </c>
      <c r="E232" t="s">
        <v>7</v>
      </c>
    </row>
    <row r="233" spans="1:5" x14ac:dyDescent="0.3">
      <c r="A233" t="s">
        <v>6</v>
      </c>
      <c r="B233">
        <v>217.09436899993665</v>
      </c>
      <c r="C233">
        <f>DTDRpat_result0__4[[#This Row],[gap of angle (rad)2]]*10000</f>
        <v>1.0501620288193683</v>
      </c>
      <c r="D233">
        <v>1.0501620288193684E-4</v>
      </c>
      <c r="E233" t="s">
        <v>8</v>
      </c>
    </row>
    <row r="234" spans="1:5" hidden="1" x14ac:dyDescent="0.3">
      <c r="A234" t="s">
        <v>6</v>
      </c>
      <c r="B234">
        <v>218.98579499993423</v>
      </c>
      <c r="C234">
        <f>DTDRpat_result0__4[[#This Row],[gap of angle (rad)2]]*10000</f>
        <v>1.040404325204727</v>
      </c>
      <c r="D234">
        <v>1.0404043252047271E-4</v>
      </c>
      <c r="E234" t="s">
        <v>7</v>
      </c>
    </row>
    <row r="235" spans="1:5" x14ac:dyDescent="0.3">
      <c r="A235" t="s">
        <v>6</v>
      </c>
      <c r="B235">
        <v>218.98579499993423</v>
      </c>
      <c r="C235">
        <f>DTDRpat_result0__4[[#This Row],[gap of angle (rad)2]]*10000</f>
        <v>1.0598325906436219</v>
      </c>
      <c r="D235">
        <v>1.059832590643622E-4</v>
      </c>
      <c r="E235" t="s">
        <v>8</v>
      </c>
    </row>
    <row r="236" spans="1:5" hidden="1" x14ac:dyDescent="0.3">
      <c r="A236" t="s">
        <v>6</v>
      </c>
      <c r="B236">
        <v>220.87095799993179</v>
      </c>
      <c r="C236">
        <f>DTDRpat_result0__4[[#This Row],[gap of angle (rad)2]]*10000</f>
        <v>1.0497241013909442</v>
      </c>
      <c r="D236">
        <v>1.0497241013909442E-4</v>
      </c>
      <c r="E236" t="s">
        <v>7</v>
      </c>
    </row>
    <row r="237" spans="1:5" x14ac:dyDescent="0.3">
      <c r="A237" t="s">
        <v>6</v>
      </c>
      <c r="B237">
        <v>220.87095799993179</v>
      </c>
      <c r="C237">
        <f>DTDRpat_result0__4[[#This Row],[gap of angle (rad)2]]*10000</f>
        <v>1.0697442644841493</v>
      </c>
      <c r="D237">
        <v>1.0697442644841492E-4</v>
      </c>
      <c r="E237" t="s">
        <v>8</v>
      </c>
    </row>
    <row r="238" spans="1:5" hidden="1" x14ac:dyDescent="0.3">
      <c r="A238" t="s">
        <v>6</v>
      </c>
      <c r="B238">
        <v>222.75612099992938</v>
      </c>
      <c r="C238">
        <f>DTDRpat_result0__4[[#This Row],[gap of angle (rad)2]]*10000</f>
        <v>1.059348807446628</v>
      </c>
      <c r="D238">
        <v>1.0593488074466279E-4</v>
      </c>
      <c r="E238" t="s">
        <v>7</v>
      </c>
    </row>
    <row r="239" spans="1:5" x14ac:dyDescent="0.3">
      <c r="A239" t="s">
        <v>6</v>
      </c>
      <c r="B239">
        <v>222.75612099992938</v>
      </c>
      <c r="C239">
        <f>DTDRpat_result0__4[[#This Row],[gap of angle (rad)2]]*10000</f>
        <v>1.0798948834648241</v>
      </c>
      <c r="D239">
        <v>1.0798948834648242E-4</v>
      </c>
      <c r="E239" t="s">
        <v>8</v>
      </c>
    </row>
    <row r="240" spans="1:5" hidden="1" x14ac:dyDescent="0.3">
      <c r="A240" t="s">
        <v>6</v>
      </c>
      <c r="B240">
        <v>224.64128399992694</v>
      </c>
      <c r="C240">
        <f>DTDRpat_result0__4[[#This Row],[gap of angle (rad)2]]*10000</f>
        <v>1.0692477609299975</v>
      </c>
      <c r="D240">
        <v>1.0692477609299974E-4</v>
      </c>
      <c r="E240" t="s">
        <v>7</v>
      </c>
    </row>
    <row r="241" spans="1:5" x14ac:dyDescent="0.3">
      <c r="A241" t="s">
        <v>6</v>
      </c>
      <c r="B241">
        <v>224.64128399992694</v>
      </c>
      <c r="C241">
        <f>DTDRpat_result0__4[[#This Row],[gap of angle (rad)2]]*10000</f>
        <v>1.090247509671108</v>
      </c>
      <c r="D241">
        <v>1.0902475096711079E-4</v>
      </c>
      <c r="E241" t="s">
        <v>8</v>
      </c>
    </row>
    <row r="242" spans="1:5" hidden="1" x14ac:dyDescent="0.3">
      <c r="A242" t="s">
        <v>6</v>
      </c>
      <c r="B242">
        <v>226.53270999992452</v>
      </c>
      <c r="C242">
        <f>DTDRpat_result0__4[[#This Row],[gap of angle (rad)2]]*10000</f>
        <v>1.079421418796692</v>
      </c>
      <c r="D242">
        <v>1.079421418796692E-4</v>
      </c>
      <c r="E242" t="s">
        <v>7</v>
      </c>
    </row>
    <row r="243" spans="1:5" x14ac:dyDescent="0.3">
      <c r="A243" t="s">
        <v>6</v>
      </c>
      <c r="B243">
        <v>226.53270999992452</v>
      </c>
      <c r="C243">
        <f>DTDRpat_result0__4[[#This Row],[gap of angle (rad)2]]*10000</f>
        <v>1.1007973513912057</v>
      </c>
      <c r="D243">
        <v>1.1007973513912057E-4</v>
      </c>
      <c r="E243" t="s">
        <v>8</v>
      </c>
    </row>
    <row r="244" spans="1:5" hidden="1" x14ac:dyDescent="0.3">
      <c r="A244" t="s">
        <v>6</v>
      </c>
      <c r="B244">
        <v>228.42413599992207</v>
      </c>
      <c r="C244">
        <f>DTDRpat_result0__4[[#This Row],[gap of angle (rad)2]]*10000</f>
        <v>1.0898002625607297</v>
      </c>
      <c r="D244">
        <v>1.0898002625607298E-4</v>
      </c>
      <c r="E244" t="s">
        <v>7</v>
      </c>
    </row>
    <row r="245" spans="1:5" x14ac:dyDescent="0.3">
      <c r="A245" t="s">
        <v>6</v>
      </c>
      <c r="B245">
        <v>228.42413599992207</v>
      </c>
      <c r="C245">
        <f>DTDRpat_result0__4[[#This Row],[gap of angle (rad)2]]*10000</f>
        <v>1.1114665864279833</v>
      </c>
      <c r="D245">
        <v>1.1114665864279832E-4</v>
      </c>
      <c r="E245" t="s">
        <v>8</v>
      </c>
    </row>
    <row r="246" spans="1:5" hidden="1" x14ac:dyDescent="0.3">
      <c r="A246" t="s">
        <v>6</v>
      </c>
      <c r="B246">
        <v>230.30929899992211</v>
      </c>
      <c r="C246">
        <f>DTDRpat_result0__4[[#This Row],[gap of angle (rad)2]]*10000</f>
        <v>1.1003088566547279</v>
      </c>
      <c r="D246">
        <v>1.1003088566547278E-4</v>
      </c>
      <c r="E246" t="s">
        <v>7</v>
      </c>
    </row>
    <row r="247" spans="1:5" x14ac:dyDescent="0.3">
      <c r="A247" t="s">
        <v>6</v>
      </c>
      <c r="B247">
        <v>230.30929899992211</v>
      </c>
      <c r="C247">
        <f>DTDRpat_result0__4[[#This Row],[gap of angle (rad)2]]*10000</f>
        <v>1.1221727631930578</v>
      </c>
      <c r="D247">
        <v>1.1221727631930577E-4</v>
      </c>
      <c r="E247" t="s">
        <v>8</v>
      </c>
    </row>
    <row r="248" spans="1:5" hidden="1" x14ac:dyDescent="0.3">
      <c r="A248" t="s">
        <v>6</v>
      </c>
      <c r="B248">
        <v>232.19446199992382</v>
      </c>
      <c r="C248">
        <f>DTDRpat_result0__4[[#This Row],[gap of angle (rad)2]]*10000</f>
        <v>1.1109381425730001</v>
      </c>
      <c r="D248">
        <v>1.1109381425730002E-4</v>
      </c>
      <c r="E248" t="s">
        <v>7</v>
      </c>
    </row>
    <row r="249" spans="1:5" x14ac:dyDescent="0.3">
      <c r="A249" t="s">
        <v>6</v>
      </c>
      <c r="B249">
        <v>232.19446199992382</v>
      </c>
      <c r="C249">
        <f>DTDRpat_result0__4[[#This Row],[gap of angle (rad)2]]*10000</f>
        <v>1.1329014871003047</v>
      </c>
      <c r="D249">
        <v>1.1329014871003046E-4</v>
      </c>
      <c r="E249" t="s">
        <v>8</v>
      </c>
    </row>
    <row r="250" spans="1:5" hidden="1" x14ac:dyDescent="0.3">
      <c r="A250" t="s">
        <v>6</v>
      </c>
      <c r="B250">
        <v>234.07336199992565</v>
      </c>
      <c r="C250">
        <f>DTDRpat_result0__4[[#This Row],[gap of angle (rad)2]]*10000</f>
        <v>1.1216062363839643</v>
      </c>
      <c r="D250">
        <v>1.1216062363839643E-4</v>
      </c>
      <c r="E250" t="s">
        <v>7</v>
      </c>
    </row>
    <row r="251" spans="1:5" x14ac:dyDescent="0.3">
      <c r="A251" t="s">
        <v>6</v>
      </c>
      <c r="B251">
        <v>234.07336199992565</v>
      </c>
      <c r="C251">
        <f>DTDRpat_result0__4[[#This Row],[gap of angle (rad)2]]*10000</f>
        <v>1.1435648965988618</v>
      </c>
      <c r="D251">
        <v>1.1435648965988618E-4</v>
      </c>
      <c r="E251" t="s">
        <v>8</v>
      </c>
    </row>
    <row r="252" spans="1:5" hidden="1" x14ac:dyDescent="0.3">
      <c r="A252" t="s">
        <v>6</v>
      </c>
      <c r="B252">
        <v>235.96478799992752</v>
      </c>
      <c r="C252">
        <f>DTDRpat_result0__4[[#This Row],[gap of angle (rad)2]]*10000</f>
        <v>1.1323707123289186</v>
      </c>
      <c r="D252">
        <v>1.1323707123289186E-4</v>
      </c>
      <c r="E252" t="s">
        <v>7</v>
      </c>
    </row>
    <row r="253" spans="1:5" x14ac:dyDescent="0.3">
      <c r="A253" t="s">
        <v>6</v>
      </c>
      <c r="B253">
        <v>235.96478799992752</v>
      </c>
      <c r="C253">
        <f>DTDRpat_result0__4[[#This Row],[gap of angle (rad)2]]*10000</f>
        <v>1.1542141670942634</v>
      </c>
      <c r="D253">
        <v>1.1542141670942634E-4</v>
      </c>
      <c r="E253" t="s">
        <v>8</v>
      </c>
    </row>
    <row r="254" spans="1:5" hidden="1" x14ac:dyDescent="0.3">
      <c r="A254" t="s">
        <v>6</v>
      </c>
      <c r="B254">
        <v>237.84368799992936</v>
      </c>
      <c r="C254">
        <f>DTDRpat_result0__4[[#This Row],[gap of angle (rad)2]]*10000</f>
        <v>1.1430368686034562</v>
      </c>
      <c r="D254">
        <v>1.1430368686034562E-4</v>
      </c>
      <c r="E254" t="s">
        <v>7</v>
      </c>
    </row>
    <row r="255" spans="1:5" x14ac:dyDescent="0.3">
      <c r="A255" t="s">
        <v>6</v>
      </c>
      <c r="B255">
        <v>237.84368799992936</v>
      </c>
      <c r="C255">
        <f>DTDRpat_result0__4[[#This Row],[gap of angle (rad)2]]*10000</f>
        <v>1.1646507374906325</v>
      </c>
      <c r="D255">
        <v>1.1646507374906324E-4</v>
      </c>
      <c r="E255" t="s">
        <v>8</v>
      </c>
    </row>
    <row r="256" spans="1:5" hidden="1" x14ac:dyDescent="0.3">
      <c r="A256" t="s">
        <v>6</v>
      </c>
      <c r="B256">
        <v>239.72885099993115</v>
      </c>
      <c r="C256">
        <f>DTDRpat_result0__4[[#This Row],[gap of angle (rad)2]]*10000</f>
        <v>1.1536565999567578</v>
      </c>
      <c r="D256">
        <v>1.1536565999567579E-4</v>
      </c>
      <c r="E256" t="s">
        <v>7</v>
      </c>
    </row>
    <row r="257" spans="1:5" x14ac:dyDescent="0.3">
      <c r="A257" t="s">
        <v>6</v>
      </c>
      <c r="B257">
        <v>239.72885099993115</v>
      </c>
      <c r="C257">
        <f>DTDRpat_result0__4[[#This Row],[gap of angle (rad)2]]*10000</f>
        <v>1.1749201530341271</v>
      </c>
      <c r="D257">
        <v>1.174920153034127E-4</v>
      </c>
      <c r="E257" t="s">
        <v>8</v>
      </c>
    </row>
    <row r="258" spans="1:5" hidden="1" x14ac:dyDescent="0.3">
      <c r="A258" t="s">
        <v>6</v>
      </c>
      <c r="B258">
        <v>241.60775099993299</v>
      </c>
      <c r="C258">
        <f>DTDRpat_result0__4[[#This Row],[gap of angle (rad)2]]*10000</f>
        <v>1.1641021747739899</v>
      </c>
      <c r="D258">
        <v>1.1641021747739898E-4</v>
      </c>
      <c r="E258" t="s">
        <v>7</v>
      </c>
    </row>
    <row r="259" spans="1:5" x14ac:dyDescent="0.3">
      <c r="A259" t="s">
        <v>6</v>
      </c>
      <c r="B259">
        <v>241.60775099993299</v>
      </c>
      <c r="C259">
        <f>DTDRpat_result0__4[[#This Row],[gap of angle (rad)2]]*10000</f>
        <v>1.1848930784179734</v>
      </c>
      <c r="D259">
        <v>1.1848930784179735E-4</v>
      </c>
      <c r="E259" t="s">
        <v>8</v>
      </c>
    </row>
    <row r="260" spans="1:5" hidden="1" x14ac:dyDescent="0.3">
      <c r="A260" t="s">
        <v>6</v>
      </c>
      <c r="B260">
        <v>243.48665099993485</v>
      </c>
      <c r="C260">
        <f>DTDRpat_result0__4[[#This Row],[gap of angle (rad)2]]*10000</f>
        <v>1.174350001631697</v>
      </c>
      <c r="D260">
        <v>1.1743500016316971E-4</v>
      </c>
      <c r="E260" t="s">
        <v>7</v>
      </c>
    </row>
    <row r="261" spans="1:5" x14ac:dyDescent="0.3">
      <c r="A261" t="s">
        <v>6</v>
      </c>
      <c r="B261">
        <v>243.48665099993485</v>
      </c>
      <c r="C261">
        <f>DTDRpat_result0__4[[#This Row],[gap of angle (rad)2]]*10000</f>
        <v>1.1945421055159793</v>
      </c>
      <c r="D261">
        <v>1.1945421055159794E-4</v>
      </c>
      <c r="E261" t="s">
        <v>8</v>
      </c>
    </row>
    <row r="262" spans="1:5" hidden="1" x14ac:dyDescent="0.3">
      <c r="A262" t="s">
        <v>6</v>
      </c>
      <c r="B262">
        <v>245.37807699993664</v>
      </c>
      <c r="C262">
        <f>DTDRpat_result0__4[[#This Row],[gap of angle (rad)2]]*10000</f>
        <v>1.1844049322535108</v>
      </c>
      <c r="D262">
        <v>1.1844049322535109E-4</v>
      </c>
      <c r="E262" t="s">
        <v>7</v>
      </c>
    </row>
    <row r="263" spans="1:5" x14ac:dyDescent="0.3">
      <c r="A263" t="s">
        <v>6</v>
      </c>
      <c r="B263">
        <v>245.37807699993664</v>
      </c>
      <c r="C263">
        <f>DTDRpat_result0__4[[#This Row],[gap of angle (rad)2]]*10000</f>
        <v>1.2038649980210563</v>
      </c>
      <c r="D263">
        <v>1.2038649980210564E-4</v>
      </c>
      <c r="E263" t="s">
        <v>8</v>
      </c>
    </row>
    <row r="264" spans="1:5" hidden="1" x14ac:dyDescent="0.3">
      <c r="A264" t="s">
        <v>6</v>
      </c>
      <c r="B264">
        <v>247.26950299993851</v>
      </c>
      <c r="C264">
        <f>DTDRpat_result0__4[[#This Row],[gap of angle (rad)2]]*10000</f>
        <v>1.1941347393724349</v>
      </c>
      <c r="D264">
        <v>1.1941347393724348E-4</v>
      </c>
      <c r="E264" t="s">
        <v>7</v>
      </c>
    </row>
    <row r="265" spans="1:5" x14ac:dyDescent="0.3">
      <c r="A265" t="s">
        <v>6</v>
      </c>
      <c r="B265">
        <v>247.26950299993851</v>
      </c>
      <c r="C265">
        <f>DTDRpat_result0__4[[#This Row],[gap of angle (rad)2]]*10000</f>
        <v>1.2127325951385142</v>
      </c>
      <c r="D265">
        <v>1.2127325951385142E-4</v>
      </c>
      <c r="E265" t="s">
        <v>8</v>
      </c>
    </row>
    <row r="266" spans="1:5" hidden="1" x14ac:dyDescent="0.3">
      <c r="A266" t="s">
        <v>6</v>
      </c>
      <c r="B266">
        <v>249.15466599994036</v>
      </c>
      <c r="C266">
        <f>DTDRpat_result0__4[[#This Row],[gap of angle (rad)2]]*10000</f>
        <v>1.2034454274951218</v>
      </c>
      <c r="D266">
        <v>1.2034454274951217E-4</v>
      </c>
      <c r="E266" t="s">
        <v>7</v>
      </c>
    </row>
    <row r="267" spans="1:5" x14ac:dyDescent="0.3">
      <c r="A267" t="s">
        <v>6</v>
      </c>
      <c r="B267">
        <v>249.15466599994036</v>
      </c>
      <c r="C267">
        <f>DTDRpat_result0__4[[#This Row],[gap of angle (rad)2]]*10000</f>
        <v>1.2210552313255707</v>
      </c>
      <c r="D267">
        <v>1.2210552313255706E-4</v>
      </c>
      <c r="E267" t="s">
        <v>8</v>
      </c>
    </row>
    <row r="268" spans="1:5" hidden="1" x14ac:dyDescent="0.3">
      <c r="A268" t="s">
        <v>6</v>
      </c>
      <c r="B268">
        <v>251.03982899994216</v>
      </c>
      <c r="C268">
        <f>DTDRpat_result0__4[[#This Row],[gap of angle (rad)2]]*10000</f>
        <v>1.2123067342266802</v>
      </c>
      <c r="D268">
        <v>1.2123067342266802E-4</v>
      </c>
      <c r="E268" t="s">
        <v>7</v>
      </c>
    </row>
    <row r="269" spans="1:5" x14ac:dyDescent="0.3">
      <c r="A269" t="s">
        <v>6</v>
      </c>
      <c r="B269">
        <v>251.03982899994216</v>
      </c>
      <c r="C269">
        <f>DTDRpat_result0__4[[#This Row],[gap of angle (rad)2]]*10000</f>
        <v>1.2288024008932916</v>
      </c>
      <c r="D269">
        <v>1.2288024008932916E-4</v>
      </c>
      <c r="E269" t="s">
        <v>8</v>
      </c>
    </row>
    <row r="270" spans="1:5" hidden="1" x14ac:dyDescent="0.3">
      <c r="A270" t="s">
        <v>6</v>
      </c>
      <c r="B270">
        <v>252.931254999944</v>
      </c>
      <c r="C270">
        <f>DTDRpat_result0__4[[#This Row],[gap of angle (rad)2]]*10000</f>
        <v>1.2206831167104477</v>
      </c>
      <c r="D270">
        <v>1.2206831167104478E-4</v>
      </c>
      <c r="E270" t="s">
        <v>7</v>
      </c>
    </row>
    <row r="271" spans="1:5" x14ac:dyDescent="0.3">
      <c r="A271" t="s">
        <v>6</v>
      </c>
      <c r="B271">
        <v>252.931254999944</v>
      </c>
      <c r="C271">
        <f>DTDRpat_result0__4[[#This Row],[gap of angle (rad)2]]*10000</f>
        <v>1.2359383498637997</v>
      </c>
      <c r="D271">
        <v>1.2359383498637997E-4</v>
      </c>
      <c r="E271" t="s">
        <v>8</v>
      </c>
    </row>
    <row r="272" spans="1:5" hidden="1" x14ac:dyDescent="0.3">
      <c r="A272" t="s">
        <v>6</v>
      </c>
      <c r="B272">
        <v>254.82268099994587</v>
      </c>
      <c r="C272">
        <f>DTDRpat_result0__4[[#This Row],[gap of angle (rad)2]]*10000</f>
        <v>1.228482981145931</v>
      </c>
      <c r="D272">
        <v>1.228482981145931E-4</v>
      </c>
      <c r="E272" t="s">
        <v>7</v>
      </c>
    </row>
    <row r="273" spans="1:5" x14ac:dyDescent="0.3">
      <c r="A273" t="s">
        <v>6</v>
      </c>
      <c r="B273">
        <v>254.82268099994587</v>
      </c>
      <c r="C273">
        <f>DTDRpat_result0__4[[#This Row],[gap of angle (rad)2]]*10000</f>
        <v>1.2423807117966499</v>
      </c>
      <c r="D273">
        <v>1.2423807117966498E-4</v>
      </c>
      <c r="E273" t="s">
        <v>8</v>
      </c>
    </row>
    <row r="274" spans="1:5" hidden="1" x14ac:dyDescent="0.3">
      <c r="A274" t="s">
        <v>6</v>
      </c>
      <c r="B274">
        <v>256.71410699994607</v>
      </c>
      <c r="C274">
        <f>DTDRpat_result0__4[[#This Row],[gap of angle (rad)2]]*10000</f>
        <v>1.2356473615829353</v>
      </c>
      <c r="D274">
        <v>1.2356473615829353E-4</v>
      </c>
      <c r="E274" t="s">
        <v>7</v>
      </c>
    </row>
    <row r="275" spans="1:5" x14ac:dyDescent="0.3">
      <c r="A275" t="s">
        <v>6</v>
      </c>
      <c r="B275">
        <v>256.71410699994607</v>
      </c>
      <c r="C275">
        <f>DTDRpat_result0__4[[#This Row],[gap of angle (rad)2]]*10000</f>
        <v>1.2480780134209535</v>
      </c>
      <c r="D275">
        <v>1.2480780134209535E-4</v>
      </c>
      <c r="E275" t="s">
        <v>8</v>
      </c>
    </row>
    <row r="276" spans="1:5" hidden="1" x14ac:dyDescent="0.3">
      <c r="A276" t="s">
        <v>6</v>
      </c>
      <c r="B276">
        <v>258.59926999994366</v>
      </c>
      <c r="C276">
        <f>DTDRpat_result0__4[[#This Row],[gap of angle (rad)2]]*10000</f>
        <v>1.2421001979071895</v>
      </c>
      <c r="D276">
        <v>1.2421001979071895E-4</v>
      </c>
      <c r="E276" t="s">
        <v>7</v>
      </c>
    </row>
    <row r="277" spans="1:5" x14ac:dyDescent="0.3">
      <c r="A277" t="s">
        <v>6</v>
      </c>
      <c r="B277">
        <v>258.59926999994366</v>
      </c>
      <c r="C277">
        <f>DTDRpat_result0__4[[#This Row],[gap of angle (rad)2]]*10000</f>
        <v>1.2529687274608823</v>
      </c>
      <c r="D277">
        <v>1.2529687274608824E-4</v>
      </c>
      <c r="E277" t="s">
        <v>8</v>
      </c>
    </row>
    <row r="278" spans="1:5" hidden="1" x14ac:dyDescent="0.3">
      <c r="A278" t="s">
        <v>6</v>
      </c>
      <c r="B278">
        <v>260.49069599994124</v>
      </c>
      <c r="C278">
        <f>DTDRpat_result0__4[[#This Row],[gap of angle (rad)2]]*10000</f>
        <v>1.2478328660000402</v>
      </c>
      <c r="D278">
        <v>1.2478328660000401E-4</v>
      </c>
      <c r="E278" t="s">
        <v>7</v>
      </c>
    </row>
    <row r="279" spans="1:5" x14ac:dyDescent="0.3">
      <c r="A279" t="s">
        <v>6</v>
      </c>
      <c r="B279">
        <v>260.49069599994124</v>
      </c>
      <c r="C279">
        <f>DTDRpat_result0__4[[#This Row],[gap of angle (rad)2]]*10000</f>
        <v>1.2570446043611878</v>
      </c>
      <c r="D279">
        <v>1.2570446043611879E-4</v>
      </c>
      <c r="E279" t="s">
        <v>8</v>
      </c>
    </row>
    <row r="280" spans="1:5" hidden="1" x14ac:dyDescent="0.3">
      <c r="A280" t="s">
        <v>6</v>
      </c>
      <c r="B280">
        <v>262.38212199993882</v>
      </c>
      <c r="C280">
        <f>DTDRpat_result0__4[[#This Row],[gap of angle (rad)2]]*10000</f>
        <v>1.2527758497459147</v>
      </c>
      <c r="D280">
        <v>1.2527758497459147E-4</v>
      </c>
      <c r="E280" t="s">
        <v>7</v>
      </c>
    </row>
    <row r="281" spans="1:5" x14ac:dyDescent="0.3">
      <c r="A281" t="s">
        <v>6</v>
      </c>
      <c r="B281">
        <v>262.38212199993882</v>
      </c>
      <c r="C281">
        <f>DTDRpat_result0__4[[#This Row],[gap of angle (rad)2]]*10000</f>
        <v>1.2602534438065411</v>
      </c>
      <c r="D281">
        <v>1.2602534438065411E-4</v>
      </c>
      <c r="E281" t="s">
        <v>8</v>
      </c>
    </row>
    <row r="282" spans="1:5" hidden="1" x14ac:dyDescent="0.3">
      <c r="A282" t="s">
        <v>6</v>
      </c>
      <c r="B282">
        <v>264.27354799993634</v>
      </c>
      <c r="C282">
        <f>DTDRpat_result0__4[[#This Row],[gap of angle (rad)2]]*10000</f>
        <v>1.256888003072671</v>
      </c>
      <c r="D282">
        <v>1.2568880030726709E-4</v>
      </c>
      <c r="E282" t="s">
        <v>7</v>
      </c>
    </row>
    <row r="283" spans="1:5" x14ac:dyDescent="0.3">
      <c r="A283" t="s">
        <v>6</v>
      </c>
      <c r="B283">
        <v>264.27354799993634</v>
      </c>
      <c r="C283">
        <f>DTDRpat_result0__4[[#This Row],[gap of angle (rad)2]]*10000</f>
        <v>1.2625677561679027</v>
      </c>
      <c r="D283">
        <v>1.2625677561679027E-4</v>
      </c>
      <c r="E283" t="s">
        <v>8</v>
      </c>
    </row>
    <row r="284" spans="1:5" hidden="1" x14ac:dyDescent="0.3">
      <c r="A284" t="s">
        <v>6</v>
      </c>
      <c r="B284">
        <v>266.15871099993393</v>
      </c>
      <c r="C284">
        <f>DTDRpat_result0__4[[#This Row],[gap of angle (rad)2]]*10000</f>
        <v>1.260125232312981</v>
      </c>
      <c r="D284">
        <v>1.260125232312981E-4</v>
      </c>
      <c r="E284" t="s">
        <v>7</v>
      </c>
    </row>
    <row r="285" spans="1:5" x14ac:dyDescent="0.3">
      <c r="A285" t="s">
        <v>6</v>
      </c>
      <c r="B285">
        <v>266.15871099993393</v>
      </c>
      <c r="C285">
        <f>DTDRpat_result0__4[[#This Row],[gap of angle (rad)2]]*10000</f>
        <v>1.2639643300096093</v>
      </c>
      <c r="D285">
        <v>1.2639643300096093E-4</v>
      </c>
      <c r="E285" t="s">
        <v>8</v>
      </c>
    </row>
    <row r="286" spans="1:5" hidden="1" x14ac:dyDescent="0.3">
      <c r="A286" t="s">
        <v>6</v>
      </c>
      <c r="B286">
        <v>268.04387399993152</v>
      </c>
      <c r="C286">
        <f>DTDRpat_result0__4[[#This Row],[gap of angle (rad)2]]*10000</f>
        <v>1.26247490351923</v>
      </c>
      <c r="D286">
        <v>1.2624749035192301E-4</v>
      </c>
      <c r="E286" t="s">
        <v>7</v>
      </c>
    </row>
    <row r="287" spans="1:5" x14ac:dyDescent="0.3">
      <c r="A287" t="s">
        <v>6</v>
      </c>
      <c r="B287">
        <v>268.04387399993152</v>
      </c>
      <c r="C287">
        <f>DTDRpat_result0__4[[#This Row],[gap of angle (rad)2]]*10000</f>
        <v>1.2644401917196764</v>
      </c>
      <c r="D287">
        <v>1.2644401917196764E-4</v>
      </c>
      <c r="E287" t="s">
        <v>8</v>
      </c>
    </row>
    <row r="288" spans="1:5" hidden="1" x14ac:dyDescent="0.3">
      <c r="A288" t="s">
        <v>6</v>
      </c>
      <c r="B288">
        <v>269.92903699992911</v>
      </c>
      <c r="C288">
        <f>DTDRpat_result0__4[[#This Row],[gap of angle (rad)2]]*10000</f>
        <v>1.2639167919590812</v>
      </c>
      <c r="D288">
        <v>1.2639167919590812E-4</v>
      </c>
      <c r="E288" t="s">
        <v>7</v>
      </c>
    </row>
    <row r="289" spans="1:5" x14ac:dyDescent="0.3">
      <c r="A289" t="s">
        <v>6</v>
      </c>
      <c r="B289">
        <v>269.92903699992911</v>
      </c>
      <c r="C289">
        <f>DTDRpat_result0__4[[#This Row],[gap of angle (rad)2]]*10000</f>
        <v>1.2639912340674324</v>
      </c>
      <c r="D289">
        <v>1.2639912340674323E-4</v>
      </c>
      <c r="E289" t="s">
        <v>8</v>
      </c>
    </row>
    <row r="290" spans="1:5" hidden="1" x14ac:dyDescent="0.3">
      <c r="A290" t="s">
        <v>6</v>
      </c>
      <c r="B290">
        <v>271.81419999992664</v>
      </c>
      <c r="C290">
        <f>DTDRpat_result0__4[[#This Row],[gap of angle (rad)2]]*10000</f>
        <v>1.2644384093069145</v>
      </c>
      <c r="D290">
        <v>1.2644384093069146E-4</v>
      </c>
      <c r="E290" t="s">
        <v>7</v>
      </c>
    </row>
    <row r="291" spans="1:5" x14ac:dyDescent="0.3">
      <c r="A291" t="s">
        <v>6</v>
      </c>
      <c r="B291">
        <v>271.81419999992664</v>
      </c>
      <c r="C291">
        <f>DTDRpat_result0__4[[#This Row],[gap of angle (rad)2]]*10000</f>
        <v>1.262621341850934</v>
      </c>
      <c r="D291">
        <v>1.2626213418509341E-4</v>
      </c>
      <c r="E291" t="s">
        <v>8</v>
      </c>
    </row>
    <row r="292" spans="1:5" hidden="1" x14ac:dyDescent="0.3">
      <c r="A292" t="s">
        <v>6</v>
      </c>
      <c r="B292">
        <v>273.70562599992422</v>
      </c>
      <c r="C292">
        <f>DTDRpat_result0__4[[#This Row],[gap of angle (rad)2]]*10000</f>
        <v>1.2640323049103015</v>
      </c>
      <c r="D292">
        <v>1.2640323049103015E-4</v>
      </c>
      <c r="E292" t="s">
        <v>7</v>
      </c>
    </row>
    <row r="293" spans="1:5" x14ac:dyDescent="0.3">
      <c r="A293" t="s">
        <v>6</v>
      </c>
      <c r="B293">
        <v>273.70562599992422</v>
      </c>
      <c r="C293">
        <f>DTDRpat_result0__4[[#This Row],[gap of angle (rad)2]]*10000</f>
        <v>1.2603333084012358</v>
      </c>
      <c r="D293">
        <v>1.2603333084012358E-4</v>
      </c>
      <c r="E293" t="s">
        <v>8</v>
      </c>
    </row>
    <row r="294" spans="1:5" hidden="1" x14ac:dyDescent="0.3">
      <c r="A294" t="s">
        <v>6</v>
      </c>
      <c r="B294">
        <v>275.59078899992181</v>
      </c>
      <c r="C294">
        <f>DTDRpat_result0__4[[#This Row],[gap of angle (rad)2]]*10000</f>
        <v>1.2627047319153137</v>
      </c>
      <c r="D294">
        <v>1.2627047319153136E-4</v>
      </c>
      <c r="E294" t="s">
        <v>7</v>
      </c>
    </row>
    <row r="295" spans="1:5" x14ac:dyDescent="0.3">
      <c r="A295" t="s">
        <v>6</v>
      </c>
      <c r="B295">
        <v>275.59078899992181</v>
      </c>
      <c r="C295">
        <f>DTDRpat_result0__4[[#This Row],[gap of angle (rad)2]]*10000</f>
        <v>1.2571620557726211</v>
      </c>
      <c r="D295">
        <v>1.2571620557726211E-4</v>
      </c>
      <c r="E295" t="s">
        <v>8</v>
      </c>
    </row>
    <row r="296" spans="1:5" hidden="1" x14ac:dyDescent="0.3">
      <c r="A296" t="s">
        <v>6</v>
      </c>
      <c r="B296">
        <v>277.4759519999194</v>
      </c>
      <c r="C296">
        <f>DTDRpat_result0__4[[#This Row],[gap of angle (rad)2]]*10000</f>
        <v>1.2604674089293375</v>
      </c>
      <c r="D296">
        <v>1.2604674089293375E-4</v>
      </c>
      <c r="E296" t="s">
        <v>7</v>
      </c>
    </row>
    <row r="297" spans="1:5" x14ac:dyDescent="0.3">
      <c r="A297" t="s">
        <v>6</v>
      </c>
      <c r="B297">
        <v>277.4759519999194</v>
      </c>
      <c r="C297">
        <f>DTDRpat_result0__4[[#This Row],[gap of angle (rad)2]]*10000</f>
        <v>1.2531285118600217</v>
      </c>
      <c r="D297">
        <v>1.2531285118600217E-4</v>
      </c>
      <c r="E297" t="s">
        <v>8</v>
      </c>
    </row>
    <row r="298" spans="1:5" hidden="1" x14ac:dyDescent="0.3">
      <c r="A298" t="s">
        <v>6</v>
      </c>
      <c r="B298">
        <v>279.36111499991694</v>
      </c>
      <c r="C298">
        <f>DTDRpat_result0__4[[#This Row],[gap of angle (rad)2]]*10000</f>
        <v>1.2573395412246675</v>
      </c>
      <c r="D298">
        <v>1.2573395412246674E-4</v>
      </c>
      <c r="E298" t="s">
        <v>7</v>
      </c>
    </row>
    <row r="299" spans="1:5" x14ac:dyDescent="0.3">
      <c r="A299" t="s">
        <v>6</v>
      </c>
      <c r="B299">
        <v>279.36111499991694</v>
      </c>
      <c r="C299">
        <f>DTDRpat_result0__4[[#This Row],[gap of angle (rad)2]]*10000</f>
        <v>1.2482667163772994</v>
      </c>
      <c r="D299">
        <v>1.2482667163772994E-4</v>
      </c>
      <c r="E299" t="s">
        <v>8</v>
      </c>
    </row>
    <row r="300" spans="1:5" hidden="1" x14ac:dyDescent="0.3">
      <c r="A300" t="s">
        <v>6</v>
      </c>
      <c r="B300">
        <v>281.24627799991453</v>
      </c>
      <c r="C300">
        <f>DTDRpat_result0__4[[#This Row],[gap of angle (rad)2]]*10000</f>
        <v>1.2533479540529884</v>
      </c>
      <c r="D300">
        <v>1.2533479540529884E-4</v>
      </c>
      <c r="E300" t="s">
        <v>7</v>
      </c>
    </row>
    <row r="301" spans="1:5" x14ac:dyDescent="0.3">
      <c r="A301" t="s">
        <v>6</v>
      </c>
      <c r="B301">
        <v>281.24627799991453</v>
      </c>
      <c r="C301">
        <f>DTDRpat_result0__4[[#This Row],[gap of angle (rad)2]]*10000</f>
        <v>1.2426168745581547</v>
      </c>
      <c r="D301">
        <v>1.2426168745581547E-4</v>
      </c>
      <c r="E301" t="s">
        <v>8</v>
      </c>
    </row>
    <row r="302" spans="1:5" hidden="1" x14ac:dyDescent="0.3">
      <c r="A302" t="s">
        <v>6</v>
      </c>
      <c r="B302">
        <v>283.13770399991211</v>
      </c>
      <c r="C302">
        <f>DTDRpat_result0__4[[#This Row],[gap of angle (rad)2]]*10000</f>
        <v>1.2485088974793364</v>
      </c>
      <c r="D302">
        <v>1.2485088974793364E-4</v>
      </c>
      <c r="E302" t="s">
        <v>7</v>
      </c>
    </row>
    <row r="303" spans="1:5" x14ac:dyDescent="0.3">
      <c r="A303" t="s">
        <v>6</v>
      </c>
      <c r="B303">
        <v>283.13770399991211</v>
      </c>
      <c r="C303">
        <f>DTDRpat_result0__4[[#This Row],[gap of angle (rad)2]]*10000</f>
        <v>1.2362025786595352</v>
      </c>
      <c r="D303">
        <v>1.2362025786595351E-4</v>
      </c>
      <c r="E303" t="s">
        <v>8</v>
      </c>
    </row>
    <row r="304" spans="1:5" hidden="1" x14ac:dyDescent="0.3">
      <c r="A304" t="s">
        <v>6</v>
      </c>
      <c r="B304">
        <v>285.01660399990971</v>
      </c>
      <c r="C304">
        <f>DTDRpat_result0__4[[#This Row],[gap of angle (rad)2]]*10000</f>
        <v>1.2429143864668886</v>
      </c>
      <c r="D304">
        <v>1.2429143864668886E-4</v>
      </c>
      <c r="E304" t="s">
        <v>7</v>
      </c>
    </row>
    <row r="305" spans="1:5" x14ac:dyDescent="0.3">
      <c r="A305" t="s">
        <v>6</v>
      </c>
      <c r="B305">
        <v>285.01660399990971</v>
      </c>
      <c r="C305">
        <f>DTDRpat_result0__4[[#This Row],[gap of angle (rad)2]]*10000</f>
        <v>1.2291418983473743</v>
      </c>
      <c r="D305">
        <v>1.2291418983473743E-4</v>
      </c>
      <c r="E305" t="s">
        <v>8</v>
      </c>
    </row>
    <row r="306" spans="1:5" hidden="1" x14ac:dyDescent="0.3">
      <c r="A306" t="s">
        <v>6</v>
      </c>
      <c r="B306">
        <v>286.90802999990723</v>
      </c>
      <c r="C306">
        <f>DTDRpat_result0__4[[#This Row],[gap of angle (rad)2]]*10000</f>
        <v>1.2365357975434998</v>
      </c>
      <c r="D306">
        <v>1.2365357975434999E-4</v>
      </c>
      <c r="E306" t="s">
        <v>7</v>
      </c>
    </row>
    <row r="307" spans="1:5" x14ac:dyDescent="0.3">
      <c r="A307" t="s">
        <v>6</v>
      </c>
      <c r="B307">
        <v>286.90802999990723</v>
      </c>
      <c r="C307">
        <f>DTDRpat_result0__4[[#This Row],[gap of angle (rad)2]]*10000</f>
        <v>1.2213958095773219</v>
      </c>
      <c r="D307">
        <v>1.2213958095773218E-4</v>
      </c>
      <c r="E307" t="s">
        <v>8</v>
      </c>
    </row>
    <row r="308" spans="1:5" hidden="1" x14ac:dyDescent="0.3">
      <c r="A308" t="s">
        <v>6</v>
      </c>
      <c r="B308">
        <v>288.79319299990482</v>
      </c>
      <c r="C308">
        <f>DTDRpat_result0__4[[#This Row],[gap of angle (rad)2]]*10000</f>
        <v>1.2294833970166918</v>
      </c>
      <c r="D308">
        <v>1.2294833970166919E-4</v>
      </c>
      <c r="E308" t="s">
        <v>7</v>
      </c>
    </row>
    <row r="309" spans="1:5" x14ac:dyDescent="0.3">
      <c r="A309" t="s">
        <v>6</v>
      </c>
      <c r="B309">
        <v>288.79319299990482</v>
      </c>
      <c r="C309">
        <f>DTDRpat_result0__4[[#This Row],[gap of angle (rad)2]]*10000</f>
        <v>1.2130963126461514</v>
      </c>
      <c r="D309">
        <v>1.2130963126461514E-4</v>
      </c>
      <c r="E309" t="s">
        <v>8</v>
      </c>
    </row>
    <row r="310" spans="1:5" hidden="1" x14ac:dyDescent="0.3">
      <c r="A310" t="s">
        <v>6</v>
      </c>
      <c r="B310">
        <v>290.67835599990241</v>
      </c>
      <c r="C310">
        <f>DTDRpat_result0__4[[#This Row],[gap of angle (rad)2]]*10000</f>
        <v>1.2217920601038961</v>
      </c>
      <c r="D310">
        <v>1.2217920601038961E-4</v>
      </c>
      <c r="E310" t="s">
        <v>7</v>
      </c>
    </row>
    <row r="311" spans="1:5" x14ac:dyDescent="0.3">
      <c r="A311" t="s">
        <v>6</v>
      </c>
      <c r="B311">
        <v>290.67835599990241</v>
      </c>
      <c r="C311">
        <f>DTDRpat_result0__4[[#This Row],[gap of angle (rad)2]]*10000</f>
        <v>1.2042794902244118</v>
      </c>
      <c r="D311">
        <v>1.2042794902244119E-4</v>
      </c>
      <c r="E311" t="s">
        <v>8</v>
      </c>
    </row>
    <row r="312" spans="1:5" hidden="1" x14ac:dyDescent="0.3">
      <c r="A312" t="s">
        <v>6</v>
      </c>
      <c r="B312">
        <v>292.55725599990001</v>
      </c>
      <c r="C312">
        <f>DTDRpat_result0__4[[#This Row],[gap of angle (rad)2]]*10000</f>
        <v>1.2135481897458136</v>
      </c>
      <c r="D312">
        <v>1.2135481897458137E-4</v>
      </c>
      <c r="E312" t="s">
        <v>7</v>
      </c>
    </row>
    <row r="313" spans="1:5" x14ac:dyDescent="0.3">
      <c r="A313" t="s">
        <v>6</v>
      </c>
      <c r="B313">
        <v>292.55725599990001</v>
      </c>
      <c r="C313">
        <f>DTDRpat_result0__4[[#This Row],[gap of angle (rad)2]]*10000</f>
        <v>1.195038940765943</v>
      </c>
      <c r="D313">
        <v>1.1950389407659429E-4</v>
      </c>
      <c r="E313" t="s">
        <v>8</v>
      </c>
    </row>
    <row r="314" spans="1:5" hidden="1" x14ac:dyDescent="0.3">
      <c r="A314" t="s">
        <v>6</v>
      </c>
      <c r="B314">
        <v>294.44868199989753</v>
      </c>
      <c r="C314">
        <f>DTDRpat_result0__4[[#This Row],[gap of angle (rad)2]]*10000</f>
        <v>1.2047270992171686</v>
      </c>
      <c r="D314">
        <v>1.2047270992171687E-4</v>
      </c>
      <c r="E314" t="s">
        <v>7</v>
      </c>
    </row>
    <row r="315" spans="1:5" x14ac:dyDescent="0.3">
      <c r="A315" t="s">
        <v>6</v>
      </c>
      <c r="B315">
        <v>294.44868199989753</v>
      </c>
      <c r="C315">
        <f>DTDRpat_result0__4[[#This Row],[gap of angle (rad)2]]*10000</f>
        <v>1.1853432875111196</v>
      </c>
      <c r="D315">
        <v>1.1853432875111196E-4</v>
      </c>
      <c r="E315" t="s">
        <v>8</v>
      </c>
    </row>
    <row r="316" spans="1:5" hidden="1" x14ac:dyDescent="0.3">
      <c r="A316" t="s">
        <v>6</v>
      </c>
      <c r="B316">
        <v>296.33384499989512</v>
      </c>
      <c r="C316">
        <f>DTDRpat_result0__4[[#This Row],[gap of angle (rad)2]]*10000</f>
        <v>1.1954761443460078</v>
      </c>
      <c r="D316">
        <v>1.1954761443460079E-4</v>
      </c>
      <c r="E316" t="s">
        <v>7</v>
      </c>
    </row>
    <row r="317" spans="1:5" x14ac:dyDescent="0.3">
      <c r="A317" t="s">
        <v>6</v>
      </c>
      <c r="B317">
        <v>296.33384499989512</v>
      </c>
      <c r="C317">
        <f>DTDRpat_result0__4[[#This Row],[gap of angle (rad)2]]*10000</f>
        <v>1.1753501614529087</v>
      </c>
      <c r="D317">
        <v>1.1753501614529088E-4</v>
      </c>
      <c r="E317" t="s">
        <v>8</v>
      </c>
    </row>
    <row r="318" spans="1:5" hidden="1" x14ac:dyDescent="0.3">
      <c r="A318" t="s">
        <v>6</v>
      </c>
      <c r="B318">
        <v>298.21900799989271</v>
      </c>
      <c r="C318">
        <f>DTDRpat_result0__4[[#This Row],[gap of angle (rad)2]]*10000</f>
        <v>1.1858298864638823</v>
      </c>
      <c r="D318">
        <v>1.1858298864638822E-4</v>
      </c>
      <c r="E318" t="s">
        <v>7</v>
      </c>
    </row>
    <row r="319" spans="1:5" x14ac:dyDescent="0.3">
      <c r="A319" t="s">
        <v>6</v>
      </c>
      <c r="B319">
        <v>298.21900799989271</v>
      </c>
      <c r="C319">
        <f>DTDRpat_result0__4[[#This Row],[gap of angle (rad)2]]*10000</f>
        <v>1.1650906919380082</v>
      </c>
      <c r="D319">
        <v>1.1650906919380081E-4</v>
      </c>
      <c r="E319" t="s">
        <v>8</v>
      </c>
    </row>
    <row r="320" spans="1:5" hidden="1" x14ac:dyDescent="0.3">
      <c r="A320" t="s">
        <v>6</v>
      </c>
      <c r="B320">
        <v>300.1041709998903</v>
      </c>
      <c r="C320">
        <f>DTDRpat_result0__4[[#This Row],[gap of angle (rad)2]]*10000</f>
        <v>1.1758515746706653</v>
      </c>
      <c r="D320">
        <v>1.1758515746706653E-4</v>
      </c>
      <c r="E320" t="s">
        <v>7</v>
      </c>
    </row>
    <row r="321" spans="1:5" x14ac:dyDescent="0.3">
      <c r="A321" t="s">
        <v>6</v>
      </c>
      <c r="B321">
        <v>300.1041709998903</v>
      </c>
      <c r="C321">
        <f>DTDRpat_result0__4[[#This Row],[gap of angle (rad)2]]*10000</f>
        <v>1.1546264061254747</v>
      </c>
      <c r="D321">
        <v>1.1546264061254747E-4</v>
      </c>
      <c r="E321" t="s">
        <v>8</v>
      </c>
    </row>
    <row r="322" spans="1:5" hidden="1" x14ac:dyDescent="0.3">
      <c r="A322" t="s">
        <v>6</v>
      </c>
      <c r="B322">
        <v>301.99559699988788</v>
      </c>
      <c r="C322">
        <f>DTDRpat_result0__4[[#This Row],[gap of angle (rad)2]]*10000</f>
        <v>1.1655694007520438</v>
      </c>
      <c r="D322">
        <v>1.1655694007520438E-4</v>
      </c>
      <c r="E322" t="s">
        <v>7</v>
      </c>
    </row>
    <row r="323" spans="1:5" x14ac:dyDescent="0.3">
      <c r="A323" t="s">
        <v>6</v>
      </c>
      <c r="B323">
        <v>301.99559699988788</v>
      </c>
      <c r="C323">
        <f>DTDRpat_result0__4[[#This Row],[gap of angle (rad)2]]*10000</f>
        <v>1.1439816524955677</v>
      </c>
      <c r="D323">
        <v>1.1439816524955677E-4</v>
      </c>
      <c r="E323" t="s">
        <v>8</v>
      </c>
    </row>
    <row r="324" spans="1:5" hidden="1" x14ac:dyDescent="0.3">
      <c r="A324" t="s">
        <v>6</v>
      </c>
      <c r="B324">
        <v>303.8870229998854</v>
      </c>
      <c r="C324">
        <f>DTDRpat_result0__4[[#This Row],[gap of angle (rad)2]]*10000</f>
        <v>1.1550782045168433</v>
      </c>
      <c r="D324">
        <v>1.1550782045168434E-4</v>
      </c>
      <c r="E324" t="s">
        <v>7</v>
      </c>
    </row>
    <row r="325" spans="1:5" x14ac:dyDescent="0.3">
      <c r="A325" t="s">
        <v>6</v>
      </c>
      <c r="B325">
        <v>303.8870229998854</v>
      </c>
      <c r="C325">
        <f>DTDRpat_result0__4[[#This Row],[gap of angle (rad)2]]*10000</f>
        <v>1.1332492293307095</v>
      </c>
      <c r="D325">
        <v>1.1332492293307095E-4</v>
      </c>
      <c r="E325" t="s">
        <v>8</v>
      </c>
    </row>
    <row r="326" spans="1:5" hidden="1" x14ac:dyDescent="0.3">
      <c r="A326" t="s">
        <v>6</v>
      </c>
      <c r="B326">
        <v>305.77844899988298</v>
      </c>
      <c r="C326">
        <f>DTDRpat_result0__4[[#This Row],[gap of angle (rad)2]]*10000</f>
        <v>1.1444385068961112</v>
      </c>
      <c r="D326">
        <v>1.1444385068961111E-4</v>
      </c>
      <c r="E326" t="s">
        <v>7</v>
      </c>
    </row>
    <row r="327" spans="1:5" x14ac:dyDescent="0.3">
      <c r="A327" t="s">
        <v>6</v>
      </c>
      <c r="B327">
        <v>305.77844899988298</v>
      </c>
      <c r="C327">
        <f>DTDRpat_result0__4[[#This Row],[gap of angle (rad)2]]*10000</f>
        <v>1.1224850084741711</v>
      </c>
      <c r="D327">
        <v>1.122485008474171E-4</v>
      </c>
      <c r="E327" t="s">
        <v>8</v>
      </c>
    </row>
    <row r="328" spans="1:5" hidden="1" x14ac:dyDescent="0.3">
      <c r="A328" t="s">
        <v>6</v>
      </c>
      <c r="B328">
        <v>307.66987499988056</v>
      </c>
      <c r="C328">
        <f>DTDRpat_result0__4[[#This Row],[gap of angle (rad)2]]*10000</f>
        <v>1.1337086850746356</v>
      </c>
      <c r="D328">
        <v>1.1337086850746357E-4</v>
      </c>
      <c r="E328" t="s">
        <v>7</v>
      </c>
    </row>
    <row r="329" spans="1:5" x14ac:dyDescent="0.3">
      <c r="A329" t="s">
        <v>6</v>
      </c>
      <c r="B329">
        <v>307.66987499988056</v>
      </c>
      <c r="C329">
        <f>DTDRpat_result0__4[[#This Row],[gap of angle (rad)2]]*10000</f>
        <v>1.1117420037714127</v>
      </c>
      <c r="D329">
        <v>1.1117420037714127E-4</v>
      </c>
      <c r="E329" t="s">
        <v>8</v>
      </c>
    </row>
    <row r="330" spans="1:5" hidden="1" x14ac:dyDescent="0.3">
      <c r="A330" t="s">
        <v>6</v>
      </c>
      <c r="B330">
        <v>309.55503799987815</v>
      </c>
      <c r="C330">
        <f>DTDRpat_result0__4[[#This Row],[gap of angle (rad)2]]*10000</f>
        <v>1.1229803273778511</v>
      </c>
      <c r="D330">
        <v>1.1229803273778511E-4</v>
      </c>
      <c r="E330" t="s">
        <v>7</v>
      </c>
    </row>
    <row r="331" spans="1:5" x14ac:dyDescent="0.3">
      <c r="A331" t="s">
        <v>6</v>
      </c>
      <c r="B331">
        <v>309.55503799987815</v>
      </c>
      <c r="C331">
        <f>DTDRpat_result0__4[[#This Row],[gap of angle (rad)2]]*10000</f>
        <v>1.1011054745670883</v>
      </c>
      <c r="D331">
        <v>1.1011054745670883E-4</v>
      </c>
      <c r="E331" t="s">
        <v>8</v>
      </c>
    </row>
    <row r="332" spans="1:5" hidden="1" x14ac:dyDescent="0.3">
      <c r="A332" t="s">
        <v>6</v>
      </c>
      <c r="B332">
        <v>311.44020099987569</v>
      </c>
      <c r="C332">
        <f>DTDRpat_result0__4[[#This Row],[gap of angle (rad)2]]*10000</f>
        <v>1.1122706945492267</v>
      </c>
      <c r="D332">
        <v>1.1122706945492267E-4</v>
      </c>
      <c r="E332" t="s">
        <v>7</v>
      </c>
    </row>
    <row r="333" spans="1:5" x14ac:dyDescent="0.3">
      <c r="A333" t="s">
        <v>6</v>
      </c>
      <c r="B333">
        <v>311.44020099987569</v>
      </c>
      <c r="C333">
        <f>DTDRpat_result0__4[[#This Row],[gap of angle (rad)2]]*10000</f>
        <v>1.0905862222367935</v>
      </c>
      <c r="D333">
        <v>1.0905862222367934E-4</v>
      </c>
      <c r="E333" t="s">
        <v>8</v>
      </c>
    </row>
    <row r="334" spans="1:5" hidden="1" x14ac:dyDescent="0.3">
      <c r="A334" t="s">
        <v>6</v>
      </c>
      <c r="B334">
        <v>313.32536399987328</v>
      </c>
      <c r="C334">
        <f>DTDRpat_result0__4[[#This Row],[gap of angle (rad)2]]*10000</f>
        <v>1.1016295245732888</v>
      </c>
      <c r="D334">
        <v>1.1016295245732887E-4</v>
      </c>
      <c r="E334" t="s">
        <v>7</v>
      </c>
    </row>
    <row r="335" spans="1:5" x14ac:dyDescent="0.3">
      <c r="A335" t="s">
        <v>6</v>
      </c>
      <c r="B335">
        <v>313.32536399987328</v>
      </c>
      <c r="C335">
        <f>DTDRpat_result0__4[[#This Row],[gap of angle (rad)2]]*10000</f>
        <v>1.0802276847719694</v>
      </c>
      <c r="D335">
        <v>1.0802276847719693E-4</v>
      </c>
      <c r="E335" t="s">
        <v>8</v>
      </c>
    </row>
    <row r="336" spans="1:5" hidden="1" x14ac:dyDescent="0.3">
      <c r="A336" t="s">
        <v>6</v>
      </c>
      <c r="B336">
        <v>315.21052699987086</v>
      </c>
      <c r="C336">
        <f>DTDRpat_result0__4[[#This Row],[gap of angle (rad)2]]*10000</f>
        <v>1.0911034602738863</v>
      </c>
      <c r="D336">
        <v>1.0911034602738862E-4</v>
      </c>
      <c r="E336" t="s">
        <v>7</v>
      </c>
    </row>
    <row r="337" spans="1:5" x14ac:dyDescent="0.3">
      <c r="A337" t="s">
        <v>6</v>
      </c>
      <c r="B337">
        <v>315.21052699987086</v>
      </c>
      <c r="C337">
        <f>DTDRpat_result0__4[[#This Row],[gap of angle (rad)2]]*10000</f>
        <v>1.0700699201368569</v>
      </c>
      <c r="D337">
        <v>1.0700699201368569E-4</v>
      </c>
      <c r="E337" t="s">
        <v>8</v>
      </c>
    </row>
    <row r="338" spans="1:5" hidden="1" x14ac:dyDescent="0.3">
      <c r="A338" t="s">
        <v>6</v>
      </c>
      <c r="B338">
        <v>317.10195299986844</v>
      </c>
      <c r="C338">
        <f>DTDRpat_result0__4[[#This Row],[gap of angle (rad)2]]*10000</f>
        <v>1.0807018440713561</v>
      </c>
      <c r="D338">
        <v>1.080701844071356E-4</v>
      </c>
      <c r="E338" t="s">
        <v>7</v>
      </c>
    </row>
    <row r="339" spans="1:5" x14ac:dyDescent="0.3">
      <c r="A339" t="s">
        <v>6</v>
      </c>
      <c r="B339">
        <v>317.10195299986844</v>
      </c>
      <c r="C339">
        <f>DTDRpat_result0__4[[#This Row],[gap of angle (rad)2]]*10000</f>
        <v>1.0601174114623693</v>
      </c>
      <c r="D339">
        <v>1.0601174114623692E-4</v>
      </c>
      <c r="E339" t="s">
        <v>8</v>
      </c>
    </row>
    <row r="340" spans="1:5" hidden="1" x14ac:dyDescent="0.3">
      <c r="A340" t="s">
        <v>6</v>
      </c>
      <c r="B340">
        <v>318.98711599986598</v>
      </c>
      <c r="C340">
        <f>DTDRpat_result0__4[[#This Row],[gap of angle (rad)2]]*10000</f>
        <v>1.0705339972843317</v>
      </c>
      <c r="D340">
        <v>1.0705339972843318E-4</v>
      </c>
      <c r="E340" t="s">
        <v>7</v>
      </c>
    </row>
    <row r="341" spans="1:5" x14ac:dyDescent="0.3">
      <c r="A341" t="s">
        <v>6</v>
      </c>
      <c r="B341">
        <v>318.98711599986598</v>
      </c>
      <c r="C341">
        <f>DTDRpat_result0__4[[#This Row],[gap of angle (rad)2]]*10000</f>
        <v>1.0504700282944925</v>
      </c>
      <c r="D341">
        <v>1.0504700282944925E-4</v>
      </c>
      <c r="E341" t="s">
        <v>8</v>
      </c>
    </row>
    <row r="342" spans="1:5" hidden="1" x14ac:dyDescent="0.3">
      <c r="A342" t="s">
        <v>6</v>
      </c>
      <c r="B342">
        <v>320.87227899986357</v>
      </c>
      <c r="C342">
        <f>DTDRpat_result0__4[[#This Row],[gap of angle (rad)2]]*10000</f>
        <v>1.060602257229178</v>
      </c>
      <c r="D342">
        <v>1.060602257229178E-4</v>
      </c>
      <c r="E342" t="s">
        <v>7</v>
      </c>
    </row>
    <row r="343" spans="1:5" x14ac:dyDescent="0.3">
      <c r="A343" t="s">
        <v>6</v>
      </c>
      <c r="B343">
        <v>320.87227899986357</v>
      </c>
      <c r="C343">
        <f>DTDRpat_result0__4[[#This Row],[gap of angle (rad)2]]*10000</f>
        <v>1.0411252265445765</v>
      </c>
      <c r="D343">
        <v>1.0411252265445766E-4</v>
      </c>
      <c r="E343" t="s">
        <v>8</v>
      </c>
    </row>
    <row r="344" spans="1:5" hidden="1" x14ac:dyDescent="0.3">
      <c r="A344" t="s">
        <v>6</v>
      </c>
      <c r="B344">
        <v>322.75744199986116</v>
      </c>
      <c r="C344">
        <f>DTDRpat_result0__4[[#This Row],[gap of angle (rad)2]]*10000</f>
        <v>1.0509406687447433</v>
      </c>
      <c r="D344">
        <v>1.0509406687447434E-4</v>
      </c>
      <c r="E344" t="s">
        <v>7</v>
      </c>
    </row>
    <row r="345" spans="1:5" x14ac:dyDescent="0.3">
      <c r="A345" t="s">
        <v>6</v>
      </c>
      <c r="B345">
        <v>322.75744199986116</v>
      </c>
      <c r="C345">
        <f>DTDRpat_result0__4[[#This Row],[gap of angle (rad)2]]*10000</f>
        <v>1.032110996400796</v>
      </c>
      <c r="D345">
        <v>1.0321109964007961E-4</v>
      </c>
      <c r="E345" t="s">
        <v>8</v>
      </c>
    </row>
    <row r="346" spans="1:5" hidden="1" x14ac:dyDescent="0.3">
      <c r="A346" t="s">
        <v>6</v>
      </c>
      <c r="B346">
        <v>324.64260499985875</v>
      </c>
      <c r="C346">
        <f>DTDRpat_result0__4[[#This Row],[gap of angle (rad)2]]*10000</f>
        <v>1.0415802211590075</v>
      </c>
      <c r="D346">
        <v>1.0415802211590076E-4</v>
      </c>
      <c r="E346" t="s">
        <v>7</v>
      </c>
    </row>
    <row r="347" spans="1:5" x14ac:dyDescent="0.3">
      <c r="A347" t="s">
        <v>6</v>
      </c>
      <c r="B347">
        <v>324.64260499985875</v>
      </c>
      <c r="C347">
        <f>DTDRpat_result0__4[[#This Row],[gap of angle (rad)2]]*10000</f>
        <v>1.0234525181653331</v>
      </c>
      <c r="D347">
        <v>1.0234525181653332E-4</v>
      </c>
      <c r="E347" t="s">
        <v>8</v>
      </c>
    </row>
    <row r="348" spans="1:5" hidden="1" x14ac:dyDescent="0.3">
      <c r="A348" t="s">
        <v>6</v>
      </c>
      <c r="B348">
        <v>326.52776799985628</v>
      </c>
      <c r="C348">
        <f>DTDRpat_result0__4[[#This Row],[gap of angle (rad)2]]*10000</f>
        <v>1.0325489748901053</v>
      </c>
      <c r="D348">
        <v>1.0325489748901053E-4</v>
      </c>
      <c r="E348" t="s">
        <v>7</v>
      </c>
    </row>
    <row r="349" spans="1:5" x14ac:dyDescent="0.3">
      <c r="A349" t="s">
        <v>6</v>
      </c>
      <c r="B349">
        <v>326.52776799985628</v>
      </c>
      <c r="C349">
        <f>DTDRpat_result0__4[[#This Row],[gap of angle (rad)2]]*10000</f>
        <v>1.0151724448666672</v>
      </c>
      <c r="D349">
        <v>1.0151724448666674E-4</v>
      </c>
      <c r="E349" t="s">
        <v>8</v>
      </c>
    </row>
    <row r="350" spans="1:5" hidden="1" x14ac:dyDescent="0.3">
      <c r="A350" t="s">
        <v>6</v>
      </c>
      <c r="B350">
        <v>328.41919399985386</v>
      </c>
      <c r="C350">
        <f>DTDRpat_result0__4[[#This Row],[gap of angle (rad)2]]*10000</f>
        <v>1.0238441472237294</v>
      </c>
      <c r="D350">
        <v>1.0238441472237294E-4</v>
      </c>
      <c r="E350" t="s">
        <v>7</v>
      </c>
    </row>
    <row r="351" spans="1:5" x14ac:dyDescent="0.3">
      <c r="A351" t="s">
        <v>6</v>
      </c>
      <c r="B351">
        <v>328.41919399985386</v>
      </c>
      <c r="C351">
        <f>DTDRpat_result0__4[[#This Row],[gap of angle (rad)2]]*10000</f>
        <v>1.0072654599439701</v>
      </c>
      <c r="D351">
        <v>1.0072654599439702E-4</v>
      </c>
      <c r="E351" t="s">
        <v>8</v>
      </c>
    </row>
    <row r="352" spans="1:5" hidden="1" x14ac:dyDescent="0.3">
      <c r="A352" t="s">
        <v>6</v>
      </c>
      <c r="B352">
        <v>330.31061999985144</v>
      </c>
      <c r="C352">
        <f>DTDRpat_result0__4[[#This Row],[gap of angle (rad)2]]*10000</f>
        <v>1.0155192303852727</v>
      </c>
      <c r="D352">
        <v>1.0155192303852728E-4</v>
      </c>
      <c r="E352" t="s">
        <v>7</v>
      </c>
    </row>
    <row r="353" spans="1:5" x14ac:dyDescent="0.3">
      <c r="A353" t="s">
        <v>6</v>
      </c>
      <c r="B353">
        <v>330.31061999985144</v>
      </c>
      <c r="C353">
        <f>DTDRpat_result0__4[[#This Row],[gap of angle (rad)2]]*10000</f>
        <v>0.99977782817240335</v>
      </c>
      <c r="D353">
        <v>9.9977782817240333E-5</v>
      </c>
      <c r="E353" t="s">
        <v>8</v>
      </c>
    </row>
    <row r="354" spans="1:5" hidden="1" x14ac:dyDescent="0.3">
      <c r="A354" t="s">
        <v>6</v>
      </c>
      <c r="B354">
        <v>332.20204599984902</v>
      </c>
      <c r="C354">
        <f>DTDRpat_result0__4[[#This Row],[gap of angle (rad)2]]*10000</f>
        <v>1.0075947259031555</v>
      </c>
      <c r="D354">
        <v>1.0075947259031556E-4</v>
      </c>
      <c r="E354" t="s">
        <v>7</v>
      </c>
    </row>
    <row r="355" spans="1:5" x14ac:dyDescent="0.3">
      <c r="A355" t="s">
        <v>6</v>
      </c>
      <c r="B355">
        <v>332.20204599984902</v>
      </c>
      <c r="C355">
        <f>DTDRpat_result0__4[[#This Row],[gap of angle (rad)2]]*10000</f>
        <v>0.99272555862330447</v>
      </c>
      <c r="D355">
        <v>9.9272555862330443E-5</v>
      </c>
      <c r="E355" t="s">
        <v>8</v>
      </c>
    </row>
    <row r="356" spans="1:5" hidden="1" x14ac:dyDescent="0.3">
      <c r="A356" t="s">
        <v>6</v>
      </c>
      <c r="B356">
        <v>334.09347199984654</v>
      </c>
      <c r="C356">
        <f>DTDRpat_result0__4[[#This Row],[gap of angle (rad)2]]*10000</f>
        <v>1.0000888556813041</v>
      </c>
      <c r="D356">
        <v>1.0000888556813042E-4</v>
      </c>
      <c r="E356" t="s">
        <v>7</v>
      </c>
    </row>
    <row r="357" spans="1:5" x14ac:dyDescent="0.3">
      <c r="A357" t="s">
        <v>6</v>
      </c>
      <c r="B357">
        <v>334.09347199984654</v>
      </c>
      <c r="C357">
        <f>DTDRpat_result0__4[[#This Row],[gap of angle (rad)2]]*10000</f>
        <v>0.98612276548298294</v>
      </c>
      <c r="D357">
        <v>9.8612276548298297E-5</v>
      </c>
      <c r="E357" t="s">
        <v>8</v>
      </c>
    </row>
    <row r="358" spans="1:5" hidden="1" x14ac:dyDescent="0.3">
      <c r="A358" t="s">
        <v>6</v>
      </c>
      <c r="B358">
        <v>335.97863499984413</v>
      </c>
      <c r="C358">
        <f>DTDRpat_result0__4[[#This Row],[gap of angle (rad)2]]*10000</f>
        <v>0.99304037134735101</v>
      </c>
      <c r="D358">
        <v>9.9304037134735103E-5</v>
      </c>
      <c r="E358" t="s">
        <v>7</v>
      </c>
    </row>
    <row r="359" spans="1:5" x14ac:dyDescent="0.3">
      <c r="A359" t="s">
        <v>6</v>
      </c>
      <c r="B359">
        <v>335.97863499984413</v>
      </c>
      <c r="C359">
        <f>DTDRpat_result0__4[[#This Row],[gap of angle (rad)2]]*10000</f>
        <v>0.98000127124249481</v>
      </c>
      <c r="D359">
        <v>9.8000127124249478E-5</v>
      </c>
      <c r="E359" t="s">
        <v>8</v>
      </c>
    </row>
    <row r="360" spans="1:5" hidden="1" x14ac:dyDescent="0.3">
      <c r="A360" t="s">
        <v>6</v>
      </c>
      <c r="B360">
        <v>337.86379799984172</v>
      </c>
      <c r="C360">
        <f>DTDRpat_result0__4[[#This Row],[gap of angle (rad)2]]*10000</f>
        <v>0.9864377946105658</v>
      </c>
      <c r="D360">
        <v>9.8643779461056582E-5</v>
      </c>
      <c r="E360" t="s">
        <v>7</v>
      </c>
    </row>
    <row r="361" spans="1:5" x14ac:dyDescent="0.3">
      <c r="A361" t="s">
        <v>6</v>
      </c>
      <c r="B361">
        <v>337.86379799984172</v>
      </c>
      <c r="C361">
        <f>DTDRpat_result0__4[[#This Row],[gap of angle (rad)2]]*10000</f>
        <v>0.97434912460242684</v>
      </c>
      <c r="D361">
        <v>9.7434912460242688E-5</v>
      </c>
      <c r="E361" t="s">
        <v>8</v>
      </c>
    </row>
    <row r="362" spans="1:5" hidden="1" x14ac:dyDescent="0.3">
      <c r="A362" t="s">
        <v>6</v>
      </c>
      <c r="B362">
        <v>339.74896099983931</v>
      </c>
      <c r="C362">
        <f>DTDRpat_result0__4[[#This Row],[gap of angle (rad)2]]*10000</f>
        <v>0.98029332928831114</v>
      </c>
      <c r="D362">
        <v>9.8029332928831116E-5</v>
      </c>
      <c r="E362" t="s">
        <v>7</v>
      </c>
    </row>
    <row r="363" spans="1:5" x14ac:dyDescent="0.3">
      <c r="A363" t="s">
        <v>6</v>
      </c>
      <c r="B363">
        <v>339.74896099983931</v>
      </c>
      <c r="C363">
        <f>DTDRpat_result0__4[[#This Row],[gap of angle (rad)2]]*10000</f>
        <v>0.96917544215996443</v>
      </c>
      <c r="D363">
        <v>9.6917544215996439E-5</v>
      </c>
      <c r="E363" t="s">
        <v>8</v>
      </c>
    </row>
    <row r="364" spans="1:5" hidden="1" x14ac:dyDescent="0.3">
      <c r="A364" t="s">
        <v>6</v>
      </c>
      <c r="B364">
        <v>341.63412399983685</v>
      </c>
      <c r="C364">
        <f>DTDRpat_result0__4[[#This Row],[gap of angle (rad)2]]*10000</f>
        <v>0.97461770175079132</v>
      </c>
      <c r="D364">
        <v>9.7461770175079129E-5</v>
      </c>
      <c r="E364" t="s">
        <v>7</v>
      </c>
    </row>
    <row r="365" spans="1:5" x14ac:dyDescent="0.3">
      <c r="A365" t="s">
        <v>6</v>
      </c>
      <c r="B365">
        <v>341.63412399983685</v>
      </c>
      <c r="C365">
        <f>DTDRpat_result0__4[[#This Row],[gap of angle (rad)2]]*10000</f>
        <v>0.96448813084168428</v>
      </c>
      <c r="D365">
        <v>9.644881308416843E-5</v>
      </c>
      <c r="E365" t="s">
        <v>8</v>
      </c>
    </row>
    <row r="366" spans="1:5" hidden="1" x14ac:dyDescent="0.3">
      <c r="A366" t="s">
        <v>6</v>
      </c>
      <c r="B366">
        <v>343.52554999983442</v>
      </c>
      <c r="C366">
        <f>DTDRpat_result0__4[[#This Row],[gap of angle (rad)2]]*10000</f>
        <v>0.96940368576300007</v>
      </c>
      <c r="D366">
        <v>9.6940368576300004E-5</v>
      </c>
      <c r="E366" t="s">
        <v>7</v>
      </c>
    </row>
    <row r="367" spans="1:5" x14ac:dyDescent="0.3">
      <c r="A367" t="s">
        <v>6</v>
      </c>
      <c r="B367">
        <v>343.52554999983442</v>
      </c>
      <c r="C367">
        <f>DTDRpat_result0__4[[#This Row],[gap of angle (rad)2]]*10000</f>
        <v>0.96028073974353079</v>
      </c>
      <c r="D367">
        <v>9.6028073974353074E-5</v>
      </c>
      <c r="E367" t="s">
        <v>8</v>
      </c>
    </row>
    <row r="368" spans="1:5" hidden="1" x14ac:dyDescent="0.3">
      <c r="A368" t="s">
        <v>6</v>
      </c>
      <c r="B368">
        <v>345.416975999832</v>
      </c>
      <c r="C368">
        <f>DTDRpat_result0__4[[#This Row],[gap of angle (rad)2]]*10000</f>
        <v>0.96467889541715346</v>
      </c>
      <c r="D368">
        <v>9.6467889541715349E-5</v>
      </c>
      <c r="E368" t="s">
        <v>7</v>
      </c>
    </row>
    <row r="369" spans="1:5" x14ac:dyDescent="0.3">
      <c r="A369" t="s">
        <v>6</v>
      </c>
      <c r="B369">
        <v>345.416975999832</v>
      </c>
      <c r="C369">
        <f>DTDRpat_result0__4[[#This Row],[gap of angle (rad)2]]*10000</f>
        <v>0.95657549067288705</v>
      </c>
      <c r="D369">
        <v>9.5657549067288701E-5</v>
      </c>
      <c r="E369" t="s">
        <v>8</v>
      </c>
    </row>
    <row r="370" spans="1:5" hidden="1" x14ac:dyDescent="0.3">
      <c r="A370" t="s">
        <v>6</v>
      </c>
      <c r="B370">
        <v>347.30840199982958</v>
      </c>
      <c r="C370">
        <f>DTDRpat_result0__4[[#This Row],[gap of angle (rad)2]]*10000</f>
        <v>0.96045022709048478</v>
      </c>
      <c r="D370">
        <v>9.6045022709048474E-5</v>
      </c>
      <c r="E370" t="s">
        <v>7</v>
      </c>
    </row>
    <row r="371" spans="1:5" x14ac:dyDescent="0.3">
      <c r="A371" t="s">
        <v>6</v>
      </c>
      <c r="B371">
        <v>347.30840199982958</v>
      </c>
      <c r="C371">
        <f>DTDRpat_result0__4[[#This Row],[gap of angle (rad)2]]*10000</f>
        <v>0.95337715528572264</v>
      </c>
      <c r="D371">
        <v>9.5337715528572264E-5</v>
      </c>
      <c r="E371" t="s">
        <v>8</v>
      </c>
    </row>
    <row r="372" spans="1:5" hidden="1" x14ac:dyDescent="0.3">
      <c r="A372" t="s">
        <v>6</v>
      </c>
      <c r="B372">
        <v>349.19356499982717</v>
      </c>
      <c r="C372">
        <f>DTDRpat_result0__4[[#This Row],[gap of angle (rad)2]]*10000</f>
        <v>0.95673493530823173</v>
      </c>
      <c r="D372">
        <v>9.5673493530823173E-5</v>
      </c>
      <c r="E372" t="s">
        <v>7</v>
      </c>
    </row>
    <row r="373" spans="1:5" x14ac:dyDescent="0.3">
      <c r="A373" t="s">
        <v>6</v>
      </c>
      <c r="B373">
        <v>349.19356499982717</v>
      </c>
      <c r="C373">
        <f>DTDRpat_result0__4[[#This Row],[gap of angle (rad)2]]*10000</f>
        <v>0.95069765799475192</v>
      </c>
      <c r="D373">
        <v>9.5069765799475191E-5</v>
      </c>
      <c r="E373" t="s">
        <v>8</v>
      </c>
    </row>
    <row r="374" spans="1:5" hidden="1" x14ac:dyDescent="0.3">
      <c r="A374" t="s">
        <v>6</v>
      </c>
      <c r="B374">
        <v>351.07872799982471</v>
      </c>
      <c r="C374">
        <f>DTDRpat_result0__4[[#This Row],[gap of angle (rad)2]]*10000</f>
        <v>0.95352297648240547</v>
      </c>
      <c r="D374">
        <v>9.5352297648240546E-5</v>
      </c>
      <c r="E374" t="s">
        <v>7</v>
      </c>
    </row>
    <row r="375" spans="1:5" x14ac:dyDescent="0.3">
      <c r="A375" t="s">
        <v>6</v>
      </c>
      <c r="B375">
        <v>351.07872799982471</v>
      </c>
      <c r="C375">
        <f>DTDRpat_result0__4[[#This Row],[gap of angle (rad)2]]*10000</f>
        <v>0.94852876647530815</v>
      </c>
      <c r="D375">
        <v>9.4852876647530819E-5</v>
      </c>
      <c r="E375" t="s">
        <v>8</v>
      </c>
    </row>
    <row r="376" spans="1:5" hidden="1" x14ac:dyDescent="0.3">
      <c r="A376" t="s">
        <v>6</v>
      </c>
      <c r="B376">
        <v>352.9638909998223</v>
      </c>
      <c r="C376">
        <f>DTDRpat_result0__4[[#This Row],[gap of angle (rad)2]]*10000</f>
        <v>0.95081829557408082</v>
      </c>
      <c r="D376">
        <v>9.5081829557408084E-5</v>
      </c>
      <c r="E376" t="s">
        <v>7</v>
      </c>
    </row>
    <row r="377" spans="1:5" x14ac:dyDescent="0.3">
      <c r="A377" t="s">
        <v>6</v>
      </c>
      <c r="B377">
        <v>352.9638909998223</v>
      </c>
      <c r="C377">
        <f>DTDRpat_result0__4[[#This Row],[gap of angle (rad)2]]*10000</f>
        <v>0.94687292249707866</v>
      </c>
      <c r="D377">
        <v>9.468729224970787E-5</v>
      </c>
      <c r="E377" t="s">
        <v>8</v>
      </c>
    </row>
    <row r="378" spans="1:5" hidden="1" x14ac:dyDescent="0.3">
      <c r="A378" t="s">
        <v>6</v>
      </c>
      <c r="B378">
        <v>354.84905399981989</v>
      </c>
      <c r="C378">
        <f>DTDRpat_result0__4[[#This Row],[gap of angle (rad)2]]*10000</f>
        <v>0.9486240846392695</v>
      </c>
      <c r="D378">
        <v>9.4862408463926949E-5</v>
      </c>
      <c r="E378" t="s">
        <v>7</v>
      </c>
    </row>
    <row r="379" spans="1:5" x14ac:dyDescent="0.3">
      <c r="A379" t="s">
        <v>6</v>
      </c>
      <c r="B379">
        <v>354.84905399981989</v>
      </c>
      <c r="C379">
        <f>DTDRpat_result0__4[[#This Row],[gap of angle (rad)2]]*10000</f>
        <v>0.94573192869790457</v>
      </c>
      <c r="D379">
        <v>9.4573192869790455E-5</v>
      </c>
      <c r="E379" t="s">
        <v>8</v>
      </c>
    </row>
    <row r="380" spans="1:5" hidden="1" x14ac:dyDescent="0.3">
      <c r="A380" t="s">
        <v>6</v>
      </c>
      <c r="B380">
        <v>356.73421699981748</v>
      </c>
      <c r="C380">
        <f>DTDRpat_result0__4[[#This Row],[gap of angle (rad)2]]*10000</f>
        <v>0.94694275493561375</v>
      </c>
      <c r="D380">
        <v>9.4694275493561379E-5</v>
      </c>
      <c r="E380" t="s">
        <v>7</v>
      </c>
    </row>
    <row r="381" spans="1:5" x14ac:dyDescent="0.3">
      <c r="A381" t="s">
        <v>6</v>
      </c>
      <c r="B381">
        <v>356.73421699981748</v>
      </c>
      <c r="C381">
        <f>DTDRpat_result0__4[[#This Row],[gap of angle (rad)2]]*10000</f>
        <v>0.94510700367065803</v>
      </c>
      <c r="D381">
        <v>9.4510700367065803E-5</v>
      </c>
      <c r="E381" t="s">
        <v>8</v>
      </c>
    </row>
    <row r="382" spans="1:5" hidden="1" x14ac:dyDescent="0.3">
      <c r="A382" t="s">
        <v>6</v>
      </c>
      <c r="B382">
        <v>358.61937999981501</v>
      </c>
      <c r="C382">
        <f>DTDRpat_result0__4[[#This Row],[gap of angle (rad)2]]*10000</f>
        <v>0.94577626699239159</v>
      </c>
      <c r="D382">
        <v>9.4577626699239161E-5</v>
      </c>
      <c r="E382" t="s">
        <v>7</v>
      </c>
    </row>
    <row r="383" spans="1:5" x14ac:dyDescent="0.3">
      <c r="A383" t="s">
        <v>6</v>
      </c>
      <c r="B383">
        <v>358.61937999981501</v>
      </c>
      <c r="C383">
        <f>DTDRpat_result0__4[[#This Row],[gap of angle (rad)2]]*10000</f>
        <v>0.94499881878780645</v>
      </c>
      <c r="D383">
        <v>9.4499881878780644E-5</v>
      </c>
      <c r="E383" t="s">
        <v>8</v>
      </c>
    </row>
    <row r="384" spans="1:5" x14ac:dyDescent="0.3">
      <c r="C384">
        <f>DTDRpat_result0__4[[#This Row],[gap of angle (rad)2]]*10000</f>
        <v>0</v>
      </c>
    </row>
    <row r="385" spans="3:3" x14ac:dyDescent="0.3">
      <c r="C385">
        <f>DTDRpat_result0__4[[#This Row],[gap of angle (rad)2]]*10000</f>
        <v>0</v>
      </c>
    </row>
    <row r="386" spans="3:3" x14ac:dyDescent="0.3">
      <c r="C386">
        <f>DTDRpat_result0__4[[#This Row],[gap of angle (rad)2]]*10000</f>
        <v>0</v>
      </c>
    </row>
    <row r="387" spans="3:3" x14ac:dyDescent="0.3">
      <c r="C387">
        <f>DTDRpat_result0__4[[#This Row],[gap of angle (rad)2]]*10000</f>
        <v>0</v>
      </c>
    </row>
    <row r="388" spans="3:3" x14ac:dyDescent="0.3">
      <c r="C388">
        <f>DTDRpat_result0__4[[#This Row],[gap of angle (rad)2]]*10000</f>
        <v>0</v>
      </c>
    </row>
    <row r="389" spans="3:3" x14ac:dyDescent="0.3">
      <c r="C389">
        <f>DTDRpat_result0__4[[#This Row],[gap of angle (rad)2]]*10000</f>
        <v>0</v>
      </c>
    </row>
    <row r="390" spans="3:3" x14ac:dyDescent="0.3">
      <c r="C390">
        <f>DTDRpat_result0__4[[#This Row],[gap of angle (rad)2]]*10000</f>
        <v>0</v>
      </c>
    </row>
    <row r="391" spans="3:3" x14ac:dyDescent="0.3">
      <c r="C391">
        <f>DTDRpat_result0__4[[#This Row],[gap of angle (rad)2]]*10000</f>
        <v>0</v>
      </c>
    </row>
    <row r="392" spans="3:3" x14ac:dyDescent="0.3">
      <c r="C392">
        <f>DTDRpat_result0__4[[#This Row],[gap of angle (rad)2]]*10000</f>
        <v>0</v>
      </c>
    </row>
    <row r="393" spans="3:3" x14ac:dyDescent="0.3">
      <c r="C393">
        <f>DTDRpat_result0__4[[#This Row],[gap of angle (rad)2]]*10000</f>
        <v>0</v>
      </c>
    </row>
    <row r="394" spans="3:3" x14ac:dyDescent="0.3">
      <c r="C394">
        <f>DTDRpat_result0__4[[#This Row],[gap of angle (rad)2]]*10000</f>
        <v>0</v>
      </c>
    </row>
    <row r="395" spans="3:3" x14ac:dyDescent="0.3">
      <c r="C395">
        <f>DTDRpat_result0__4[[#This Row],[gap of angle (rad)2]]*10000</f>
        <v>0</v>
      </c>
    </row>
    <row r="396" spans="3:3" x14ac:dyDescent="0.3">
      <c r="C396">
        <f>DTDRpat_result0__4[[#This Row],[gap of angle (rad)2]]*10000</f>
        <v>0</v>
      </c>
    </row>
    <row r="397" spans="3:3" x14ac:dyDescent="0.3">
      <c r="C397">
        <f>DTDRpat_result0__4[[#This Row],[gap of angle (rad)2]]*10000</f>
        <v>0</v>
      </c>
    </row>
    <row r="398" spans="3:3" x14ac:dyDescent="0.3">
      <c r="C398">
        <f>DTDRpat_result0__4[[#This Row],[gap of angle (rad)2]]*10000</f>
        <v>0</v>
      </c>
    </row>
    <row r="399" spans="3:3" x14ac:dyDescent="0.3">
      <c r="C399">
        <f>DTDRpat_result0__4[[#This Row],[gap of angle (rad)2]]*10000</f>
        <v>0</v>
      </c>
    </row>
    <row r="400" spans="3:3" x14ac:dyDescent="0.3">
      <c r="C400">
        <f>DTDRpat_result0__4[[#This Row],[gap of angle (rad)2]]*10000</f>
        <v>0</v>
      </c>
    </row>
    <row r="401" spans="3:3" x14ac:dyDescent="0.3">
      <c r="C401">
        <f>DTDRpat_result0__4[[#This Row],[gap of angle (rad)2]]*10000</f>
        <v>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C8578-4972-4E5F-AE69-CF25333A6FA2}">
  <dimension ref="C2:F193"/>
  <sheetViews>
    <sheetView tabSelected="1" topLeftCell="C1" zoomScale="115" zoomScaleNormal="115" workbookViewId="0">
      <selection activeCell="T2" sqref="T2"/>
    </sheetView>
  </sheetViews>
  <sheetFormatPr defaultRowHeight="16.5" x14ac:dyDescent="0.3"/>
  <sheetData>
    <row r="2" spans="3:6" x14ac:dyDescent="0.3">
      <c r="C2" t="s">
        <v>20</v>
      </c>
      <c r="D2" t="s">
        <v>18</v>
      </c>
      <c r="E2" t="s">
        <v>20</v>
      </c>
      <c r="F2" t="s">
        <v>19</v>
      </c>
    </row>
    <row r="3" spans="3:6" x14ac:dyDescent="0.3">
      <c r="C3" s="2">
        <v>6.2630000000000012E-3</v>
      </c>
      <c r="D3" s="2">
        <v>0.94524748808722836</v>
      </c>
      <c r="E3" s="2">
        <v>6.2630000000000012E-3</v>
      </c>
      <c r="F3" s="2">
        <v>0.94524923813766348</v>
      </c>
    </row>
    <row r="4" spans="3:6" x14ac:dyDescent="0.3">
      <c r="C4" s="3">
        <v>1.8851630000000021</v>
      </c>
      <c r="D4" s="3">
        <v>0.94497717797524683</v>
      </c>
      <c r="E4" s="3">
        <v>1.8851630000000021</v>
      </c>
      <c r="F4" s="3">
        <v>0.94603444901559786</v>
      </c>
    </row>
    <row r="5" spans="3:6" x14ac:dyDescent="0.3">
      <c r="C5" s="2">
        <v>3.7891150000000429</v>
      </c>
      <c r="D5" s="2">
        <v>0.94522700403451154</v>
      </c>
      <c r="E5" s="2">
        <v>3.7891150000000429</v>
      </c>
      <c r="F5" s="2">
        <v>0.94735275834575894</v>
      </c>
    </row>
    <row r="6" spans="3:6" x14ac:dyDescent="0.3">
      <c r="C6" s="3">
        <v>5.6680149999999898</v>
      </c>
      <c r="D6" s="3">
        <v>0.94599014629422085</v>
      </c>
      <c r="E6" s="3">
        <v>5.6680149999999898</v>
      </c>
      <c r="F6" s="3">
        <v>0.94916804820666945</v>
      </c>
    </row>
    <row r="7" spans="3:6" x14ac:dyDescent="0.3">
      <c r="C7" s="2">
        <v>7.5657039999999816</v>
      </c>
      <c r="D7" s="2">
        <v>0.94728102231726363</v>
      </c>
      <c r="E7" s="2">
        <v>7.5657039999999816</v>
      </c>
      <c r="F7" s="2">
        <v>0.95151806762449542</v>
      </c>
    </row>
    <row r="8" spans="3:6" x14ac:dyDescent="0.3">
      <c r="C8" s="3">
        <v>9.4508670000001374</v>
      </c>
      <c r="D8" s="3">
        <v>0.94907952268458451</v>
      </c>
      <c r="E8" s="3">
        <v>9.4508670000001374</v>
      </c>
      <c r="F8" s="3">
        <v>0.95436392135500703</v>
      </c>
    </row>
    <row r="9" spans="3:6" x14ac:dyDescent="0.3">
      <c r="C9" s="2">
        <v>11.329767000000343</v>
      </c>
      <c r="D9" s="2">
        <v>0.95138190500238962</v>
      </c>
      <c r="E9" s="2">
        <v>11.329767000000343</v>
      </c>
      <c r="F9" s="2">
        <v>0.95770408736538903</v>
      </c>
    </row>
    <row r="10" spans="3:6" x14ac:dyDescent="0.3">
      <c r="C10" s="3">
        <v>13.208667000000569</v>
      </c>
      <c r="D10" s="3">
        <v>0.95419071174256986</v>
      </c>
      <c r="E10" s="3">
        <v>13.208667000000569</v>
      </c>
      <c r="F10" s="3">
        <v>0.96154300925095515</v>
      </c>
    </row>
    <row r="11" spans="3:6" x14ac:dyDescent="0.3">
      <c r="C11" s="2">
        <v>15.106356000000735</v>
      </c>
      <c r="D11" s="2">
        <v>0.95753826480066218</v>
      </c>
      <c r="E11" s="2">
        <v>15.106356000000735</v>
      </c>
      <c r="F11" s="2">
        <v>0.96592152144339127</v>
      </c>
    </row>
    <row r="12" spans="3:6" x14ac:dyDescent="0.3">
      <c r="C12" s="3">
        <v>16.991519000000864</v>
      </c>
      <c r="D12" s="3">
        <v>0.96136774406961867</v>
      </c>
      <c r="E12" s="3">
        <v>16.991519000000864</v>
      </c>
      <c r="F12" s="3">
        <v>0.97076386618997212</v>
      </c>
    </row>
    <row r="13" spans="3:6" x14ac:dyDescent="0.3">
      <c r="C13" s="2">
        <v>18.920523000001062</v>
      </c>
      <c r="D13" s="2">
        <v>0.965801046094242</v>
      </c>
      <c r="E13" s="2">
        <v>18.920523000001062</v>
      </c>
      <c r="F13" s="2">
        <v>0.97621979995106312</v>
      </c>
    </row>
    <row r="14" spans="3:6" x14ac:dyDescent="0.3">
      <c r="C14" s="3">
        <v>20.830738000001276</v>
      </c>
      <c r="D14" s="3">
        <v>0.9706980578090324</v>
      </c>
      <c r="E14" s="3">
        <v>20.830738000001276</v>
      </c>
      <c r="F14" s="3">
        <v>0.98211321998968437</v>
      </c>
    </row>
    <row r="15" spans="3:6" x14ac:dyDescent="0.3">
      <c r="C15" s="2">
        <v>22.734690000001489</v>
      </c>
      <c r="D15" s="2">
        <v>0.97607360464304638</v>
      </c>
      <c r="E15" s="2">
        <v>22.734690000001489</v>
      </c>
      <c r="F15" s="2">
        <v>0.98846317906143422</v>
      </c>
    </row>
    <row r="16" spans="3:6" x14ac:dyDescent="0.3">
      <c r="C16" s="3">
        <v>24.632379000001709</v>
      </c>
      <c r="D16" s="3">
        <v>0.98191438885026883</v>
      </c>
      <c r="E16" s="3">
        <v>24.632379000001709</v>
      </c>
      <c r="F16" s="3">
        <v>0.99525356523518049</v>
      </c>
    </row>
    <row r="17" spans="3:6" x14ac:dyDescent="0.3">
      <c r="C17" s="2">
        <v>26.530068000001961</v>
      </c>
      <c r="D17" s="2">
        <v>0.98822744019359365</v>
      </c>
      <c r="E17" s="2">
        <v>26.530068000001961</v>
      </c>
      <c r="F17" s="2">
        <v>1.0024913652279379</v>
      </c>
    </row>
    <row r="18" spans="3:6" x14ac:dyDescent="0.3">
      <c r="C18" s="3">
        <v>28.408968000002208</v>
      </c>
      <c r="D18" s="3">
        <v>0.99493217729819905</v>
      </c>
      <c r="E18" s="3">
        <v>28.408968000002208</v>
      </c>
      <c r="F18" s="3">
        <v>1.0100837495571071</v>
      </c>
    </row>
    <row r="19" spans="3:6" x14ac:dyDescent="0.3">
      <c r="C19" s="2">
        <v>30.300394000002274</v>
      </c>
      <c r="D19" s="2">
        <v>1.002125237242445</v>
      </c>
      <c r="E19" s="2">
        <v>30.300394000002274</v>
      </c>
      <c r="F19" s="2">
        <v>1.0181383566462943</v>
      </c>
    </row>
    <row r="20" spans="3:6" x14ac:dyDescent="0.3">
      <c r="C20" s="3">
        <v>32.191820000002224</v>
      </c>
      <c r="D20" s="3">
        <v>1.0097488081775137</v>
      </c>
      <c r="E20" s="3">
        <v>32.191820000002224</v>
      </c>
      <c r="F20" s="3">
        <v>1.0265870991911332</v>
      </c>
    </row>
    <row r="21" spans="3:6" x14ac:dyDescent="0.3">
      <c r="C21" s="2">
        <v>34.083246000001388</v>
      </c>
      <c r="D21" s="2">
        <v>1.0177861585964383</v>
      </c>
      <c r="E21" s="2">
        <v>34.083246000001388</v>
      </c>
      <c r="F21" s="2">
        <v>1.0354086952182189</v>
      </c>
    </row>
    <row r="22" spans="3:6" x14ac:dyDescent="0.3">
      <c r="C22" s="3">
        <v>35.962146000000565</v>
      </c>
      <c r="D22" s="3">
        <v>1.026161365998578</v>
      </c>
      <c r="E22" s="3">
        <v>35.962146000000565</v>
      </c>
      <c r="F22" s="3">
        <v>1.0445175228924348</v>
      </c>
    </row>
    <row r="23" spans="3:6" x14ac:dyDescent="0.3">
      <c r="C23" s="2">
        <v>37.841045999999736</v>
      </c>
      <c r="D23" s="2">
        <v>1.0349056421320226</v>
      </c>
      <c r="E23" s="2">
        <v>37.841045999999736</v>
      </c>
      <c r="F23" s="2">
        <v>1.0539448266853617</v>
      </c>
    </row>
    <row r="24" spans="3:6" x14ac:dyDescent="0.3">
      <c r="C24" s="3">
        <v>39.732471999998907</v>
      </c>
      <c r="D24" s="3">
        <v>1.0440574174758814</v>
      </c>
      <c r="E24" s="3">
        <v>39.732471999998907</v>
      </c>
      <c r="F24" s="3">
        <v>1.0637276141807137</v>
      </c>
    </row>
    <row r="25" spans="3:6" x14ac:dyDescent="0.3">
      <c r="C25" s="2">
        <v>41.623897999998071</v>
      </c>
      <c r="D25" s="2">
        <v>1.053533310283693</v>
      </c>
      <c r="E25" s="2">
        <v>41.623897999998071</v>
      </c>
      <c r="F25" s="2">
        <v>1.0737717826632553</v>
      </c>
    </row>
    <row r="26" spans="3:6" x14ac:dyDescent="0.3">
      <c r="C26" s="3">
        <v>43.515323999997243</v>
      </c>
      <c r="D26" s="3">
        <v>1.0633041698582482</v>
      </c>
      <c r="E26" s="3">
        <v>43.515323999997243</v>
      </c>
      <c r="F26" s="3">
        <v>1.0840420362274363</v>
      </c>
    </row>
    <row r="27" spans="3:6" x14ac:dyDescent="0.3">
      <c r="C27" s="2">
        <v>45.394223999996413</v>
      </c>
      <c r="D27" s="2">
        <v>1.0732706667512135</v>
      </c>
      <c r="E27" s="2">
        <v>45.394223999996413</v>
      </c>
      <c r="F27" s="2">
        <v>1.0944300245869245</v>
      </c>
    </row>
    <row r="28" spans="3:6" x14ac:dyDescent="0.3">
      <c r="C28" s="3">
        <v>47.285649999995584</v>
      </c>
      <c r="D28" s="3">
        <v>1.0835306388050361</v>
      </c>
      <c r="E28" s="3">
        <v>47.285649999995584</v>
      </c>
      <c r="F28" s="3">
        <v>1.1050327908382711</v>
      </c>
    </row>
    <row r="29" spans="3:6" x14ac:dyDescent="0.3">
      <c r="C29" s="2">
        <v>49.164549999994755</v>
      </c>
      <c r="D29" s="2">
        <v>1.0939103911584005</v>
      </c>
      <c r="E29" s="2">
        <v>49.164549999994755</v>
      </c>
      <c r="F29" s="2">
        <v>1.1156656323407872</v>
      </c>
    </row>
    <row r="30" spans="3:6" x14ac:dyDescent="0.3">
      <c r="C30" s="3">
        <v>51.062238999993923</v>
      </c>
      <c r="D30" s="3">
        <v>1.1045422693134264</v>
      </c>
      <c r="E30" s="3">
        <v>51.062238999993923</v>
      </c>
      <c r="F30" s="3">
        <v>1.1264580192667071</v>
      </c>
    </row>
    <row r="31" spans="3:6" x14ac:dyDescent="0.3">
      <c r="C31" s="2">
        <v>52.9411389999931</v>
      </c>
      <c r="D31" s="2">
        <v>1.1151714549454224</v>
      </c>
      <c r="E31" s="2">
        <v>52.9411389999931</v>
      </c>
      <c r="F31" s="2">
        <v>1.1371457081288427</v>
      </c>
    </row>
    <row r="32" spans="3:6" x14ac:dyDescent="0.3">
      <c r="C32" s="3">
        <v>54.832564999992265</v>
      </c>
      <c r="D32" s="3">
        <v>1.1259268693129534</v>
      </c>
      <c r="E32" s="3">
        <v>54.832564999992265</v>
      </c>
      <c r="F32" s="3">
        <v>1.1478528902019181</v>
      </c>
    </row>
    <row r="33" spans="3:6" x14ac:dyDescent="0.3">
      <c r="C33" s="2">
        <v>56.717727999991439</v>
      </c>
      <c r="D33" s="2">
        <v>1.1366512583309394</v>
      </c>
      <c r="E33" s="2">
        <v>56.717727999991439</v>
      </c>
      <c r="F33" s="2">
        <v>1.1584167606399498</v>
      </c>
    </row>
    <row r="34" spans="3:6" x14ac:dyDescent="0.3">
      <c r="C34" s="3">
        <v>58.59662799999041</v>
      </c>
      <c r="D34" s="3">
        <v>1.1472914283988118</v>
      </c>
      <c r="E34" s="3">
        <v>58.59662799999041</v>
      </c>
      <c r="F34" s="3">
        <v>1.1687800427601303</v>
      </c>
    </row>
    <row r="35" spans="3:6" x14ac:dyDescent="0.3">
      <c r="C35" s="2">
        <v>60.494316999989287</v>
      </c>
      <c r="D35" s="2">
        <v>1.1579321800721702</v>
      </c>
      <c r="E35" s="2">
        <v>60.494316999989287</v>
      </c>
      <c r="F35" s="2">
        <v>1.1790182378025942</v>
      </c>
    </row>
    <row r="36" spans="3:6" x14ac:dyDescent="0.3">
      <c r="C36" s="3">
        <v>62.37321699998818</v>
      </c>
      <c r="D36" s="3">
        <v>1.1683044360371351</v>
      </c>
      <c r="E36" s="3">
        <v>62.37321699998818</v>
      </c>
      <c r="F36" s="3">
        <v>1.1888667320314352</v>
      </c>
    </row>
    <row r="37" spans="3:6" x14ac:dyDescent="0.3">
      <c r="C37" s="2">
        <v>64.264642999987458</v>
      </c>
      <c r="D37" s="2">
        <v>1.178521139330172</v>
      </c>
      <c r="E37" s="2">
        <v>64.264642999987458</v>
      </c>
      <c r="F37" s="2">
        <v>1.1984278977050062</v>
      </c>
    </row>
    <row r="38" spans="3:6" x14ac:dyDescent="0.3">
      <c r="C38" s="3">
        <v>66.149805999988899</v>
      </c>
      <c r="D38" s="3">
        <v>1.1884176989133128</v>
      </c>
      <c r="E38" s="3">
        <v>66.149805999988899</v>
      </c>
      <c r="F38" s="3">
        <v>1.2075416704604398</v>
      </c>
    </row>
    <row r="39" spans="3:6" x14ac:dyDescent="0.3">
      <c r="C39" s="2">
        <v>68.04123199999033</v>
      </c>
      <c r="D39" s="2">
        <v>1.1979965625786748</v>
      </c>
      <c r="E39" s="2">
        <v>68.04123199999033</v>
      </c>
      <c r="F39" s="2">
        <v>1.2162053371832175</v>
      </c>
    </row>
    <row r="40" spans="3:6" x14ac:dyDescent="0.3">
      <c r="C40" s="3">
        <v>69.932657999992031</v>
      </c>
      <c r="D40" s="3">
        <v>1.2071604790544199</v>
      </c>
      <c r="E40" s="3">
        <v>69.932657999992031</v>
      </c>
      <c r="F40" s="3">
        <v>1.2243255344286454</v>
      </c>
    </row>
    <row r="41" spans="3:6" x14ac:dyDescent="0.3">
      <c r="C41" s="2">
        <v>71.811557999993852</v>
      </c>
      <c r="D41" s="2">
        <v>1.2157901623053544</v>
      </c>
      <c r="E41" s="2">
        <v>71.811557999993852</v>
      </c>
      <c r="F41" s="2">
        <v>1.2317942498261452</v>
      </c>
    </row>
    <row r="42" spans="3:6" x14ac:dyDescent="0.3">
      <c r="C42" s="3">
        <v>73.690457999995672</v>
      </c>
      <c r="D42" s="3">
        <v>1.2238865627023883</v>
      </c>
      <c r="E42" s="3">
        <v>73.690457999995672</v>
      </c>
      <c r="F42" s="3">
        <v>1.2386105852258138</v>
      </c>
    </row>
    <row r="43" spans="3:6" x14ac:dyDescent="0.3">
      <c r="C43" s="2">
        <v>75.588146999997534</v>
      </c>
      <c r="D43" s="2">
        <v>1.2314622091645548</v>
      </c>
      <c r="E43" s="2">
        <v>75.588146999997534</v>
      </c>
      <c r="F43" s="2">
        <v>1.2447789342197935</v>
      </c>
    </row>
    <row r="44" spans="3:6" x14ac:dyDescent="0.3">
      <c r="C44" s="3">
        <v>77.467046999999354</v>
      </c>
      <c r="D44" s="3">
        <v>1.2383099772100015</v>
      </c>
      <c r="E44" s="3">
        <v>77.467046999999354</v>
      </c>
      <c r="F44" s="3">
        <v>1.2501280946463404</v>
      </c>
    </row>
    <row r="45" spans="3:6" x14ac:dyDescent="0.3">
      <c r="C45" s="2">
        <v>79.358473000001183</v>
      </c>
      <c r="D45" s="2">
        <v>1.2444932246524902</v>
      </c>
      <c r="E45" s="2">
        <v>79.358473000001183</v>
      </c>
      <c r="F45" s="2">
        <v>1.2547068762848879</v>
      </c>
    </row>
    <row r="46" spans="3:6" x14ac:dyDescent="0.3">
      <c r="C46" s="3">
        <v>81.24989900000304</v>
      </c>
      <c r="D46" s="3">
        <v>1.2499142604322424</v>
      </c>
      <c r="E46" s="3">
        <v>81.24989900000304</v>
      </c>
      <c r="F46" s="3">
        <v>1.2584384765693828</v>
      </c>
    </row>
    <row r="47" spans="3:6" x14ac:dyDescent="0.3">
      <c r="C47" s="2">
        <v>83.141325000004883</v>
      </c>
      <c r="D47" s="2">
        <v>1.2545283546454542</v>
      </c>
      <c r="E47" s="2">
        <v>83.141325000004883</v>
      </c>
      <c r="F47" s="2">
        <v>1.2612911658595956</v>
      </c>
    </row>
    <row r="48" spans="3:6" x14ac:dyDescent="0.3">
      <c r="C48" s="3">
        <v>85.020225000006718</v>
      </c>
      <c r="D48" s="3">
        <v>1.2582747694938272</v>
      </c>
      <c r="E48" s="3">
        <v>85.020225000006718</v>
      </c>
      <c r="F48" s="3">
        <v>1.263230435572104</v>
      </c>
    </row>
    <row r="49" spans="3:6" x14ac:dyDescent="0.3">
      <c r="C49" s="2">
        <v>86.899125000008539</v>
      </c>
      <c r="D49" s="2">
        <v>1.261155216215158</v>
      </c>
      <c r="E49" s="2">
        <v>86.899125000008539</v>
      </c>
      <c r="F49" s="2">
        <v>1.2642614286721641</v>
      </c>
    </row>
    <row r="50" spans="3:6" x14ac:dyDescent="0.3">
      <c r="C50" s="3">
        <v>88.790551000010367</v>
      </c>
      <c r="D50" s="3">
        <v>1.2631554300597139</v>
      </c>
      <c r="E50" s="3">
        <v>88.790551000010367</v>
      </c>
      <c r="F50" s="3">
        <v>1.2643729412134408</v>
      </c>
    </row>
    <row r="51" spans="3:6" x14ac:dyDescent="0.3">
      <c r="C51" s="2">
        <v>90.681977000012225</v>
      </c>
      <c r="D51" s="2">
        <v>1.2642359354484431</v>
      </c>
      <c r="E51" s="2">
        <v>90.681977000012225</v>
      </c>
      <c r="F51" s="2">
        <v>1.2635540666029612</v>
      </c>
    </row>
    <row r="52" spans="3:6" x14ac:dyDescent="0.3">
      <c r="C52" s="3">
        <v>92.573403000014096</v>
      </c>
      <c r="D52" s="3">
        <v>1.2643872275256676</v>
      </c>
      <c r="E52" s="3">
        <v>92.573403000014096</v>
      </c>
      <c r="F52" s="3">
        <v>1.2618119417064682</v>
      </c>
    </row>
    <row r="53" spans="3:6" x14ac:dyDescent="0.3">
      <c r="C53" s="2">
        <v>94.452303000016087</v>
      </c>
      <c r="D53" s="2">
        <v>1.2636162208450881</v>
      </c>
      <c r="E53" s="2">
        <v>94.452303000016087</v>
      </c>
      <c r="F53" s="2">
        <v>1.2591822792951186</v>
      </c>
    </row>
    <row r="54" spans="3:6" x14ac:dyDescent="0.3">
      <c r="C54" s="3">
        <v>96.331203000018064</v>
      </c>
      <c r="D54" s="3">
        <v>1.2619335770555322</v>
      </c>
      <c r="E54" s="3">
        <v>96.331203000018064</v>
      </c>
      <c r="F54" s="3">
        <v>1.2556789549146612</v>
      </c>
    </row>
    <row r="55" spans="3:6" x14ac:dyDescent="0.3">
      <c r="C55" s="2">
        <v>98.228892000020082</v>
      </c>
      <c r="D55" s="2">
        <v>1.2593236169459963</v>
      </c>
      <c r="E55" s="2">
        <v>98.228892000020082</v>
      </c>
      <c r="F55" s="2">
        <v>1.2512839389332688</v>
      </c>
    </row>
    <row r="56" spans="3:6" x14ac:dyDescent="0.3">
      <c r="C56" s="3">
        <v>100.12031800002208</v>
      </c>
      <c r="D56" s="3">
        <v>1.2558342040822303</v>
      </c>
      <c r="E56" s="3">
        <v>100.12031800002208</v>
      </c>
      <c r="F56" s="3">
        <v>1.2460836853701889</v>
      </c>
    </row>
    <row r="57" spans="3:6" x14ac:dyDescent="0.3">
      <c r="C57" s="2">
        <v>101.99921800002406</v>
      </c>
      <c r="D57" s="2">
        <v>1.2515196103627055</v>
      </c>
      <c r="E57" s="2">
        <v>101.99921800002406</v>
      </c>
      <c r="F57" s="2">
        <v>1.2401502042419827</v>
      </c>
    </row>
    <row r="58" spans="3:6" x14ac:dyDescent="0.3">
      <c r="C58" s="3">
        <v>103.87811800002605</v>
      </c>
      <c r="D58" s="3">
        <v>1.2463955748916979</v>
      </c>
      <c r="E58" s="3">
        <v>103.87811800002605</v>
      </c>
      <c r="F58" s="3">
        <v>1.2334992142977834</v>
      </c>
    </row>
    <row r="59" spans="3:6" x14ac:dyDescent="0.3">
      <c r="C59" s="2">
        <v>105.75701800002803</v>
      </c>
      <c r="D59" s="2">
        <v>1.2405039766061723</v>
      </c>
      <c r="E59" s="2">
        <v>105.75701800002803</v>
      </c>
      <c r="F59" s="2">
        <v>1.2261827199452695</v>
      </c>
    </row>
    <row r="60" spans="3:6" x14ac:dyDescent="0.3">
      <c r="C60" s="3">
        <v>107.65470700003004</v>
      </c>
      <c r="D60" s="3">
        <v>1.2338224644136213</v>
      </c>
      <c r="E60" s="3">
        <v>107.65470700003004</v>
      </c>
      <c r="F60" s="3">
        <v>1.2181743212228846</v>
      </c>
    </row>
    <row r="61" spans="3:6" x14ac:dyDescent="0.3">
      <c r="C61" s="2">
        <v>109.54613300003204</v>
      </c>
      <c r="D61" s="2">
        <v>1.2264849153517858</v>
      </c>
      <c r="E61" s="2">
        <v>109.54613300003204</v>
      </c>
      <c r="F61" s="2">
        <v>1.2096334510147719</v>
      </c>
    </row>
    <row r="62" spans="3:6" x14ac:dyDescent="0.3">
      <c r="C62" s="3">
        <v>111.43755900003404</v>
      </c>
      <c r="D62" s="3">
        <v>1.2185271301804694</v>
      </c>
      <c r="E62" s="3">
        <v>111.43755900003404</v>
      </c>
      <c r="F62" s="3">
        <v>1.2005966099242067</v>
      </c>
    </row>
    <row r="63" spans="3:6" x14ac:dyDescent="0.3">
      <c r="C63" s="2">
        <v>113.32898500003604</v>
      </c>
      <c r="D63" s="2">
        <v>1.2100088261134991</v>
      </c>
      <c r="E63" s="2">
        <v>113.32898500003604</v>
      </c>
      <c r="F63" s="2">
        <v>1.1911270400743326</v>
      </c>
    </row>
    <row r="64" spans="3:6" x14ac:dyDescent="0.3">
      <c r="C64" s="3">
        <v>115.20788500003803</v>
      </c>
      <c r="D64" s="3">
        <v>1.2010530974093065</v>
      </c>
      <c r="E64" s="3">
        <v>115.20788500003803</v>
      </c>
      <c r="F64" s="3">
        <v>1.1813548314536608</v>
      </c>
    </row>
    <row r="65" spans="3:6" x14ac:dyDescent="0.3">
      <c r="C65" s="2">
        <v>117.08678500003998</v>
      </c>
      <c r="D65" s="2">
        <v>1.1916672616896702</v>
      </c>
      <c r="E65" s="2">
        <v>117.08678500003998</v>
      </c>
      <c r="F65" s="2">
        <v>1.171280958947498</v>
      </c>
    </row>
    <row r="66" spans="3:6" x14ac:dyDescent="0.3">
      <c r="C66" s="3">
        <v>118.96568500004193</v>
      </c>
      <c r="D66" s="3">
        <v>1.1819138823982678</v>
      </c>
      <c r="E66" s="3">
        <v>118.96568500004193</v>
      </c>
      <c r="F66" s="3">
        <v>1.1609671129776054</v>
      </c>
    </row>
    <row r="67" spans="3:6" x14ac:dyDescent="0.3">
      <c r="C67" s="2">
        <v>120.85084800004387</v>
      </c>
      <c r="D67" s="2">
        <v>1.1718214049836071</v>
      </c>
      <c r="E67" s="2">
        <v>120.85084800004387</v>
      </c>
      <c r="F67" s="2">
        <v>1.1504383193448451</v>
      </c>
    </row>
    <row r="68" spans="3:6" x14ac:dyDescent="0.3">
      <c r="C68" s="3">
        <v>122.74853700004584</v>
      </c>
      <c r="D68" s="3">
        <v>1.1614146763400255</v>
      </c>
      <c r="E68" s="3">
        <v>122.74853700004584</v>
      </c>
      <c r="F68" s="3">
        <v>1.1397166174172009</v>
      </c>
    </row>
    <row r="69" spans="3:6" x14ac:dyDescent="0.3">
      <c r="C69" s="2">
        <v>124.6399630000478</v>
      </c>
      <c r="D69" s="2">
        <v>1.1508572167177826</v>
      </c>
      <c r="E69" s="2">
        <v>124.6399630000478</v>
      </c>
      <c r="F69" s="2">
        <v>1.1289649889296087</v>
      </c>
    </row>
    <row r="70" spans="3:6" x14ac:dyDescent="0.3">
      <c r="C70" s="3">
        <v>126.53138900004976</v>
      </c>
      <c r="D70" s="3">
        <v>1.1401747718002082</v>
      </c>
      <c r="E70" s="3">
        <v>126.53138900004976</v>
      </c>
      <c r="F70" s="3">
        <v>1.1182030238026799</v>
      </c>
    </row>
    <row r="71" spans="3:6" x14ac:dyDescent="0.3">
      <c r="C71" s="2">
        <v>128.42281500005069</v>
      </c>
      <c r="D71" s="2">
        <v>1.1294248014962709</v>
      </c>
      <c r="E71" s="2">
        <v>128.42281500005069</v>
      </c>
      <c r="F71" s="2">
        <v>1.1074825505846828</v>
      </c>
    </row>
    <row r="72" spans="3:6" x14ac:dyDescent="0.3">
      <c r="C72" s="3">
        <v>130.31424100004827</v>
      </c>
      <c r="D72" s="3">
        <v>1.1186621785703128</v>
      </c>
      <c r="E72" s="3">
        <v>130.31424100004827</v>
      </c>
      <c r="F72" s="3">
        <v>1.09685246111873</v>
      </c>
    </row>
    <row r="73" spans="3:6" x14ac:dyDescent="0.3">
      <c r="C73" s="2">
        <v>132.20566700004582</v>
      </c>
      <c r="D73" s="2">
        <v>1.1079389132760105</v>
      </c>
      <c r="E73" s="2">
        <v>132.20566700004582</v>
      </c>
      <c r="F73" s="2">
        <v>1.0863584548698313</v>
      </c>
    </row>
    <row r="74" spans="3:6" x14ac:dyDescent="0.3">
      <c r="C74" s="3">
        <v>134.09083000004341</v>
      </c>
      <c r="D74" s="3">
        <v>1.0973390545964719</v>
      </c>
      <c r="E74" s="3">
        <v>134.09083000004341</v>
      </c>
      <c r="F74" s="3">
        <v>1.0760767680335266</v>
      </c>
    </row>
    <row r="75" spans="3:6" x14ac:dyDescent="0.3">
      <c r="C75" s="2">
        <v>135.96973000004098</v>
      </c>
      <c r="D75" s="2">
        <v>1.0869068064301306</v>
      </c>
      <c r="E75" s="2">
        <v>135.96973000004098</v>
      </c>
      <c r="F75" s="2">
        <v>1.0660443087139939</v>
      </c>
    </row>
    <row r="76" spans="3:6" x14ac:dyDescent="0.3">
      <c r="C76" s="3">
        <v>137.86115600003856</v>
      </c>
      <c r="D76" s="3">
        <v>1.0765809296653306</v>
      </c>
      <c r="E76" s="3">
        <v>137.86115600003856</v>
      </c>
      <c r="F76" s="3">
        <v>1.0561976906217887</v>
      </c>
    </row>
    <row r="77" spans="3:6" x14ac:dyDescent="0.3">
      <c r="C77" s="2">
        <v>139.75258200003611</v>
      </c>
      <c r="D77" s="2">
        <v>1.0664707667027784</v>
      </c>
      <c r="E77" s="2">
        <v>139.75258200003611</v>
      </c>
      <c r="F77" s="2">
        <v>1.0466374404567385</v>
      </c>
    </row>
    <row r="78" spans="3:6" x14ac:dyDescent="0.3">
      <c r="C78" s="3">
        <v>141.64400800003369</v>
      </c>
      <c r="D78" s="3">
        <v>1.0566126139608285</v>
      </c>
      <c r="E78" s="3">
        <v>141.64400800003369</v>
      </c>
      <c r="F78" s="3">
        <v>1.0373935969700396</v>
      </c>
    </row>
    <row r="79" spans="3:6" x14ac:dyDescent="0.3">
      <c r="C79" s="2">
        <v>143.52917100003125</v>
      </c>
      <c r="D79" s="2">
        <v>1.0470707105045247</v>
      </c>
      <c r="E79" s="2">
        <v>143.52917100003125</v>
      </c>
      <c r="F79" s="2">
        <v>1.0285221123902235</v>
      </c>
    </row>
    <row r="80" spans="3:6" x14ac:dyDescent="0.3">
      <c r="C80" s="3">
        <v>145.42059700002883</v>
      </c>
      <c r="D80" s="3">
        <v>1.0378116843268232</v>
      </c>
      <c r="E80" s="3">
        <v>145.42059700002883</v>
      </c>
      <c r="F80" s="3">
        <v>1.0199883482239953</v>
      </c>
    </row>
    <row r="81" spans="3:6" x14ac:dyDescent="0.3">
      <c r="C81" s="2">
        <v>147.30576000002642</v>
      </c>
      <c r="D81" s="2">
        <v>1.0289239076536425</v>
      </c>
      <c r="E81" s="2">
        <v>147.30576000002642</v>
      </c>
      <c r="F81" s="2">
        <v>1.0118704474579283</v>
      </c>
    </row>
    <row r="82" spans="3:6" x14ac:dyDescent="0.3">
      <c r="C82" s="3">
        <v>149.184660000024</v>
      </c>
      <c r="D82" s="3">
        <v>1.0204280700516775</v>
      </c>
      <c r="E82" s="3">
        <v>149.184660000024</v>
      </c>
      <c r="F82" s="3">
        <v>1.0041837363589583</v>
      </c>
    </row>
    <row r="83" spans="3:6" x14ac:dyDescent="0.3">
      <c r="C83" s="2">
        <v>151.07608600002158</v>
      </c>
      <c r="D83" s="2">
        <v>1.0122628503488318</v>
      </c>
      <c r="E83" s="2">
        <v>151.07608600002158</v>
      </c>
      <c r="F83" s="2">
        <v>0.99687048877197149</v>
      </c>
    </row>
    <row r="84" spans="3:6" x14ac:dyDescent="0.3">
      <c r="C84" s="3">
        <v>152.95498600001915</v>
      </c>
      <c r="D84" s="3">
        <v>1.0045556789226497</v>
      </c>
      <c r="E84" s="3">
        <v>152.95498600001915</v>
      </c>
      <c r="F84" s="3">
        <v>0.99004255862360946</v>
      </c>
    </row>
    <row r="85" spans="3:6" x14ac:dyDescent="0.3">
      <c r="C85" s="2">
        <v>154.8464120000167</v>
      </c>
      <c r="D85" s="2">
        <v>0.99722103367628179</v>
      </c>
      <c r="E85" s="2">
        <v>154.8464120000167</v>
      </c>
      <c r="F85" s="2">
        <v>0.9836221856724735</v>
      </c>
    </row>
    <row r="86" spans="3:6" x14ac:dyDescent="0.3">
      <c r="C86" s="3">
        <v>156.7253120000143</v>
      </c>
      <c r="D86" s="3">
        <v>0.99037116083575494</v>
      </c>
      <c r="E86" s="3">
        <v>156.7253120000143</v>
      </c>
      <c r="F86" s="3">
        <v>0.97770590758831932</v>
      </c>
    </row>
    <row r="87" spans="3:6" x14ac:dyDescent="0.3">
      <c r="C87" s="2">
        <v>158.60421200001187</v>
      </c>
      <c r="D87" s="2">
        <v>0.98396921370172974</v>
      </c>
      <c r="E87" s="2">
        <v>158.60421200001187</v>
      </c>
      <c r="F87" s="2">
        <v>0.97225956940896907</v>
      </c>
    </row>
    <row r="88" spans="3:6" x14ac:dyDescent="0.3">
      <c r="C88" s="3">
        <v>160.48311200000947</v>
      </c>
      <c r="D88" s="3">
        <v>0.97802673551324559</v>
      </c>
      <c r="E88" s="3">
        <v>160.48311200000947</v>
      </c>
      <c r="F88" s="3">
        <v>0.96729178634621782</v>
      </c>
    </row>
    <row r="89" spans="3:6" x14ac:dyDescent="0.3">
      <c r="C89" s="2">
        <v>162.37453800000702</v>
      </c>
      <c r="D89" s="2">
        <v>0.97251884886691664</v>
      </c>
      <c r="E89" s="2">
        <v>162.37453800000702</v>
      </c>
      <c r="F89" s="2">
        <v>0.96278163373122527</v>
      </c>
    </row>
    <row r="90" spans="3:6" x14ac:dyDescent="0.3">
      <c r="C90" s="3">
        <v>164.2659640000046</v>
      </c>
      <c r="D90" s="3">
        <v>0.96749545864248498</v>
      </c>
      <c r="E90" s="3">
        <v>164.2659640000046</v>
      </c>
      <c r="F90" s="3">
        <v>0.95877021699941167</v>
      </c>
    </row>
    <row r="91" spans="3:6" x14ac:dyDescent="0.3">
      <c r="C91" s="2">
        <v>166.14486400000217</v>
      </c>
      <c r="D91" s="2">
        <v>0.96299249707579848</v>
      </c>
      <c r="E91" s="2">
        <v>166.14486400000217</v>
      </c>
      <c r="F91" s="2">
        <v>0.9552844366525538</v>
      </c>
    </row>
    <row r="92" spans="3:6" x14ac:dyDescent="0.3">
      <c r="C92" s="3">
        <v>168.03628999999975</v>
      </c>
      <c r="D92" s="3">
        <v>0.95895633034231653</v>
      </c>
      <c r="E92" s="3">
        <v>168.03628999999975</v>
      </c>
      <c r="F92" s="3">
        <v>0.95228223078300656</v>
      </c>
    </row>
    <row r="93" spans="3:6" x14ac:dyDescent="0.3">
      <c r="C93" s="2">
        <v>169.9277159999973</v>
      </c>
      <c r="D93" s="2">
        <v>0.95542399398227762</v>
      </c>
      <c r="E93" s="2">
        <v>169.9277159999973</v>
      </c>
      <c r="F93" s="2">
        <v>0.94979215979972509</v>
      </c>
    </row>
    <row r="94" spans="3:6" x14ac:dyDescent="0.3">
      <c r="C94" s="3">
        <v>171.8066159999949</v>
      </c>
      <c r="D94" s="3">
        <v>0.95241834628810118</v>
      </c>
      <c r="E94" s="3">
        <v>171.8066159999949</v>
      </c>
      <c r="F94" s="3">
        <v>0.94782850931454143</v>
      </c>
    </row>
    <row r="95" spans="3:6" x14ac:dyDescent="0.3">
      <c r="C95" s="2">
        <v>173.69804199999245</v>
      </c>
      <c r="D95" s="2">
        <v>0.94990291940017213</v>
      </c>
      <c r="E95" s="2">
        <v>173.69804199999245</v>
      </c>
      <c r="F95" s="2">
        <v>0.94636729268079445</v>
      </c>
    </row>
    <row r="96" spans="3:6" x14ac:dyDescent="0.3">
      <c r="C96" s="3">
        <v>175.58946799999003</v>
      </c>
      <c r="D96" s="3">
        <v>0.94790242927202362</v>
      </c>
      <c r="E96" s="3">
        <v>175.58946799999003</v>
      </c>
      <c r="F96" s="3">
        <v>0.94542489617944503</v>
      </c>
    </row>
    <row r="97" spans="3:6" x14ac:dyDescent="0.3">
      <c r="C97" s="2">
        <v>177.48089399998759</v>
      </c>
      <c r="D97" s="2">
        <v>0.94641910893542203</v>
      </c>
      <c r="E97" s="2">
        <v>177.48089399998759</v>
      </c>
      <c r="F97" s="2">
        <v>0.94500233155482027</v>
      </c>
    </row>
    <row r="98" spans="3:6" x14ac:dyDescent="0.3">
      <c r="C98" s="3">
        <v>179.36605699998518</v>
      </c>
      <c r="D98" s="3">
        <v>0.9454568486467293</v>
      </c>
      <c r="E98" s="3">
        <v>179.36605699998518</v>
      </c>
      <c r="F98" s="3">
        <v>0.9450988981633438</v>
      </c>
    </row>
    <row r="99" spans="3:6" x14ac:dyDescent="0.3">
      <c r="C99" s="2">
        <v>181.25748299998276</v>
      </c>
      <c r="D99" s="2">
        <v>0.94501035565256397</v>
      </c>
      <c r="E99" s="2">
        <v>181.25748299998276</v>
      </c>
      <c r="F99" s="2">
        <v>0.94571508265322923</v>
      </c>
    </row>
    <row r="100" spans="3:6" x14ac:dyDescent="0.3">
      <c r="C100" s="3">
        <v>183.14890899998031</v>
      </c>
      <c r="D100" s="3">
        <v>0.94508415535951462</v>
      </c>
      <c r="E100" s="3">
        <v>183.14890899998031</v>
      </c>
      <c r="F100" s="3">
        <v>0.94685086722667677</v>
      </c>
    </row>
    <row r="101" spans="3:6" x14ac:dyDescent="0.3">
      <c r="C101" s="2">
        <v>185.0340719999779</v>
      </c>
      <c r="D101" s="2">
        <v>0.94567534358199534</v>
      </c>
      <c r="E101" s="2">
        <v>185.0340719999779</v>
      </c>
      <c r="F101" s="2">
        <v>0.9484985796127865</v>
      </c>
    </row>
    <row r="102" spans="3:6" x14ac:dyDescent="0.3">
      <c r="C102" s="3">
        <v>186.92549799997545</v>
      </c>
      <c r="D102" s="3">
        <v>0.94678719601991645</v>
      </c>
      <c r="E102" s="3">
        <v>186.92549799997545</v>
      </c>
      <c r="F102" s="3">
        <v>0.95066739986153082</v>
      </c>
    </row>
    <row r="103" spans="3:6" x14ac:dyDescent="0.3">
      <c r="C103" s="2">
        <v>188.81066099997304</v>
      </c>
      <c r="D103" s="2">
        <v>0.9484111856284636</v>
      </c>
      <c r="E103" s="2">
        <v>188.81066099997304</v>
      </c>
      <c r="F103" s="2">
        <v>0.95334051890595828</v>
      </c>
    </row>
    <row r="104" spans="3:6" x14ac:dyDescent="0.3">
      <c r="C104" s="3">
        <v>190.6958239999706</v>
      </c>
      <c r="D104" s="3">
        <v>0.95054831990802091</v>
      </c>
      <c r="E104" s="3">
        <v>190.6958239999706</v>
      </c>
      <c r="F104" s="3">
        <v>0.95652111396377892</v>
      </c>
    </row>
    <row r="105" spans="3:6" x14ac:dyDescent="0.3">
      <c r="C105" s="2">
        <v>192.5747239999682</v>
      </c>
      <c r="D105" s="2">
        <v>0.95318658647355503</v>
      </c>
      <c r="E105" s="2">
        <v>192.5747239999682</v>
      </c>
      <c r="F105" s="2">
        <v>0.96019225594980318</v>
      </c>
    </row>
    <row r="106" spans="3:6" x14ac:dyDescent="0.3">
      <c r="C106" s="3">
        <v>194.45988699996576</v>
      </c>
      <c r="D106" s="3">
        <v>0.95634048217580847</v>
      </c>
      <c r="E106" s="3">
        <v>194.45988699996576</v>
      </c>
      <c r="F106" s="3">
        <v>0.96437371615018042</v>
      </c>
    </row>
    <row r="107" spans="3:6" x14ac:dyDescent="0.3">
      <c r="C107" s="2">
        <v>196.33878699996336</v>
      </c>
      <c r="D107" s="2">
        <v>0.95998523005781933</v>
      </c>
      <c r="E107" s="2">
        <v>196.33878699996336</v>
      </c>
      <c r="F107" s="2">
        <v>0.96903207948288506</v>
      </c>
    </row>
    <row r="108" spans="3:6" x14ac:dyDescent="0.3">
      <c r="C108" s="3">
        <v>198.23021299996091</v>
      </c>
      <c r="D108" s="3">
        <v>0.96415507139458778</v>
      </c>
      <c r="E108" s="3">
        <v>198.23021299996091</v>
      </c>
      <c r="F108" s="3">
        <v>0.97420964582406877</v>
      </c>
    </row>
    <row r="109" spans="3:6" x14ac:dyDescent="0.3">
      <c r="C109" s="2">
        <v>200.1153759999585</v>
      </c>
      <c r="D109" s="2">
        <v>0.96880552458859337</v>
      </c>
      <c r="E109" s="2">
        <v>200.1153759999585</v>
      </c>
      <c r="F109" s="2">
        <v>0.97984961230194789</v>
      </c>
    </row>
    <row r="110" spans="3:6" x14ac:dyDescent="0.3">
      <c r="C110" s="3">
        <v>202.00680199995605</v>
      </c>
      <c r="D110" s="3">
        <v>0.97396073370706004</v>
      </c>
      <c r="E110" s="3">
        <v>202.00680199995605</v>
      </c>
      <c r="F110" s="3">
        <v>0.98598017795271797</v>
      </c>
    </row>
    <row r="111" spans="3:6" x14ac:dyDescent="0.3">
      <c r="C111" s="2">
        <v>203.89822799995363</v>
      </c>
      <c r="D111" s="2">
        <v>0.97959821190703655</v>
      </c>
      <c r="E111" s="2">
        <v>203.89822799995363</v>
      </c>
      <c r="F111" s="2">
        <v>0.99257274554550634</v>
      </c>
    </row>
    <row r="112" spans="3:6" x14ac:dyDescent="0.3">
      <c r="C112" s="3">
        <v>205.78339099995119</v>
      </c>
      <c r="D112" s="3">
        <v>0.98568778875817098</v>
      </c>
      <c r="E112" s="3">
        <v>205.78339099995119</v>
      </c>
      <c r="F112" s="3">
        <v>0.99959104081793471</v>
      </c>
    </row>
    <row r="113" spans="3:6" x14ac:dyDescent="0.3">
      <c r="C113" s="2">
        <v>207.66855399994878</v>
      </c>
      <c r="D113" s="2">
        <v>0.99223688345361583</v>
      </c>
      <c r="E113" s="2">
        <v>207.66855399994878</v>
      </c>
      <c r="F113" s="2">
        <v>1.0070422256618359</v>
      </c>
    </row>
    <row r="114" spans="3:6" x14ac:dyDescent="0.3">
      <c r="C114" s="3">
        <v>209.55371699994635</v>
      </c>
      <c r="D114" s="3">
        <v>0.99923334985322321</v>
      </c>
      <c r="E114" s="3">
        <v>209.55371699994635</v>
      </c>
      <c r="F114" s="3">
        <v>1.0149104757476877</v>
      </c>
    </row>
    <row r="115" spans="3:6" x14ac:dyDescent="0.3">
      <c r="C115" s="2">
        <v>211.43887999994394</v>
      </c>
      <c r="D115" s="2">
        <v>1.0066634817334237</v>
      </c>
      <c r="E115" s="2">
        <v>211.43887999994394</v>
      </c>
      <c r="F115" s="2">
        <v>1.0231779121142397</v>
      </c>
    </row>
    <row r="116" spans="3:6" x14ac:dyDescent="0.3">
      <c r="C116" s="3">
        <v>213.3240429999415</v>
      </c>
      <c r="D116" s="3">
        <v>1.0145114584425881</v>
      </c>
      <c r="E116" s="3">
        <v>213.3240429999415</v>
      </c>
      <c r="F116" s="3">
        <v>1.0318244702923542</v>
      </c>
    </row>
    <row r="117" spans="3:6" x14ac:dyDescent="0.3">
      <c r="C117" s="2">
        <v>215.2029429999391</v>
      </c>
      <c r="D117" s="2">
        <v>1.0227315783719149</v>
      </c>
      <c r="E117" s="2">
        <v>215.2029429999391</v>
      </c>
      <c r="F117" s="2">
        <v>1.040797053270669</v>
      </c>
    </row>
    <row r="118" spans="3:6" x14ac:dyDescent="0.3">
      <c r="C118" s="3">
        <v>217.09436899993665</v>
      </c>
      <c r="D118" s="3">
        <v>1.0313879172052978</v>
      </c>
      <c r="E118" s="3">
        <v>217.09436899993665</v>
      </c>
      <c r="F118" s="3">
        <v>1.0501620288193683</v>
      </c>
    </row>
    <row r="119" spans="3:6" x14ac:dyDescent="0.3">
      <c r="C119" s="2">
        <v>218.98579499993423</v>
      </c>
      <c r="D119" s="2">
        <v>1.040404325204727</v>
      </c>
      <c r="E119" s="2">
        <v>218.98579499993423</v>
      </c>
      <c r="F119" s="2">
        <v>1.0598325906436219</v>
      </c>
    </row>
    <row r="120" spans="3:6" x14ac:dyDescent="0.3">
      <c r="C120" s="3">
        <v>220.87095799993179</v>
      </c>
      <c r="D120" s="3">
        <v>1.0497241013909442</v>
      </c>
      <c r="E120" s="3">
        <v>220.87095799993179</v>
      </c>
      <c r="F120" s="3">
        <v>1.0697442644841493</v>
      </c>
    </row>
    <row r="121" spans="3:6" x14ac:dyDescent="0.3">
      <c r="C121" s="2">
        <v>222.75612099992938</v>
      </c>
      <c r="D121" s="2">
        <v>1.059348807446628</v>
      </c>
      <c r="E121" s="2">
        <v>222.75612099992938</v>
      </c>
      <c r="F121" s="2">
        <v>1.0798948834648241</v>
      </c>
    </row>
    <row r="122" spans="3:6" x14ac:dyDescent="0.3">
      <c r="C122" s="3">
        <v>224.64128399992694</v>
      </c>
      <c r="D122" s="3">
        <v>1.0692477609299975</v>
      </c>
      <c r="E122" s="3">
        <v>224.64128399992694</v>
      </c>
      <c r="F122" s="3">
        <v>1.090247509671108</v>
      </c>
    </row>
    <row r="123" spans="3:6" x14ac:dyDescent="0.3">
      <c r="C123" s="2">
        <v>226.53270999992452</v>
      </c>
      <c r="D123" s="2">
        <v>1.079421418796692</v>
      </c>
      <c r="E123" s="2">
        <v>226.53270999992452</v>
      </c>
      <c r="F123" s="2">
        <v>1.1007973513912057</v>
      </c>
    </row>
    <row r="124" spans="3:6" x14ac:dyDescent="0.3">
      <c r="C124" s="3">
        <v>228.42413599992207</v>
      </c>
      <c r="D124" s="3">
        <v>1.0898002625607297</v>
      </c>
      <c r="E124" s="3">
        <v>228.42413599992207</v>
      </c>
      <c r="F124" s="3">
        <v>1.1114665864279833</v>
      </c>
    </row>
    <row r="125" spans="3:6" x14ac:dyDescent="0.3">
      <c r="C125" s="2">
        <v>230.30929899992211</v>
      </c>
      <c r="D125" s="2">
        <v>1.1003088566547279</v>
      </c>
      <c r="E125" s="2">
        <v>230.30929899992211</v>
      </c>
      <c r="F125" s="2">
        <v>1.1221727631930578</v>
      </c>
    </row>
    <row r="126" spans="3:6" x14ac:dyDescent="0.3">
      <c r="C126" s="3">
        <v>232.19446199992382</v>
      </c>
      <c r="D126" s="3">
        <v>1.1109381425730001</v>
      </c>
      <c r="E126" s="3">
        <v>232.19446199992382</v>
      </c>
      <c r="F126" s="3">
        <v>1.1329014871003047</v>
      </c>
    </row>
    <row r="127" spans="3:6" x14ac:dyDescent="0.3">
      <c r="C127" s="2">
        <v>234.07336199992565</v>
      </c>
      <c r="D127" s="2">
        <v>1.1216062363839643</v>
      </c>
      <c r="E127" s="2">
        <v>234.07336199992565</v>
      </c>
      <c r="F127" s="2">
        <v>1.1435648965988618</v>
      </c>
    </row>
    <row r="128" spans="3:6" x14ac:dyDescent="0.3">
      <c r="C128" s="3">
        <v>235.96478799992752</v>
      </c>
      <c r="D128" s="3">
        <v>1.1323707123289186</v>
      </c>
      <c r="E128" s="3">
        <v>235.96478799992752</v>
      </c>
      <c r="F128" s="3">
        <v>1.1542141670942634</v>
      </c>
    </row>
    <row r="129" spans="3:6" x14ac:dyDescent="0.3">
      <c r="C129" s="2">
        <v>237.84368799992936</v>
      </c>
      <c r="D129" s="2">
        <v>1.1430368686034562</v>
      </c>
      <c r="E129" s="2">
        <v>237.84368799992936</v>
      </c>
      <c r="F129" s="2">
        <v>1.1646507374906325</v>
      </c>
    </row>
    <row r="130" spans="3:6" x14ac:dyDescent="0.3">
      <c r="C130" s="3">
        <v>239.72885099993115</v>
      </c>
      <c r="D130" s="3">
        <v>1.1536565999567578</v>
      </c>
      <c r="E130" s="3">
        <v>239.72885099993115</v>
      </c>
      <c r="F130" s="3">
        <v>1.1749201530341271</v>
      </c>
    </row>
    <row r="131" spans="3:6" x14ac:dyDescent="0.3">
      <c r="C131" s="2">
        <v>241.60775099993299</v>
      </c>
      <c r="D131" s="2">
        <v>1.1641021747739899</v>
      </c>
      <c r="E131" s="2">
        <v>241.60775099993299</v>
      </c>
      <c r="F131" s="2">
        <v>1.1848930784179734</v>
      </c>
    </row>
    <row r="132" spans="3:6" x14ac:dyDescent="0.3">
      <c r="C132" s="3">
        <v>243.48665099993485</v>
      </c>
      <c r="D132" s="3">
        <v>1.174350001631697</v>
      </c>
      <c r="E132" s="3">
        <v>243.48665099993485</v>
      </c>
      <c r="F132" s="3">
        <v>1.1945421055159793</v>
      </c>
    </row>
    <row r="133" spans="3:6" x14ac:dyDescent="0.3">
      <c r="C133" s="2">
        <v>245.37807699993664</v>
      </c>
      <c r="D133" s="2">
        <v>1.1844049322535108</v>
      </c>
      <c r="E133" s="2">
        <v>245.37807699993664</v>
      </c>
      <c r="F133" s="2">
        <v>1.2038649980210563</v>
      </c>
    </row>
    <row r="134" spans="3:6" x14ac:dyDescent="0.3">
      <c r="C134" s="3">
        <v>247.26950299993851</v>
      </c>
      <c r="D134" s="3">
        <v>1.1941347393724349</v>
      </c>
      <c r="E134" s="3">
        <v>247.26950299993851</v>
      </c>
      <c r="F134" s="3">
        <v>1.2127325951385142</v>
      </c>
    </row>
    <row r="135" spans="3:6" x14ac:dyDescent="0.3">
      <c r="C135" s="2">
        <v>249.15466599994036</v>
      </c>
      <c r="D135" s="2">
        <v>1.2034454274951218</v>
      </c>
      <c r="E135" s="2">
        <v>249.15466599994036</v>
      </c>
      <c r="F135" s="2">
        <v>1.2210552313255707</v>
      </c>
    </row>
    <row r="136" spans="3:6" x14ac:dyDescent="0.3">
      <c r="C136" s="3">
        <v>251.03982899994216</v>
      </c>
      <c r="D136" s="3">
        <v>1.2123067342266802</v>
      </c>
      <c r="E136" s="3">
        <v>251.03982899994216</v>
      </c>
      <c r="F136" s="3">
        <v>1.2288024008932916</v>
      </c>
    </row>
    <row r="137" spans="3:6" x14ac:dyDescent="0.3">
      <c r="C137" s="2">
        <v>252.931254999944</v>
      </c>
      <c r="D137" s="2">
        <v>1.2206831167104477</v>
      </c>
      <c r="E137" s="2">
        <v>252.931254999944</v>
      </c>
      <c r="F137" s="2">
        <v>1.2359383498637997</v>
      </c>
    </row>
    <row r="138" spans="3:6" x14ac:dyDescent="0.3">
      <c r="C138" s="3">
        <v>254.82268099994587</v>
      </c>
      <c r="D138" s="3">
        <v>1.228482981145931</v>
      </c>
      <c r="E138" s="3">
        <v>254.82268099994587</v>
      </c>
      <c r="F138" s="3">
        <v>1.2423807117966499</v>
      </c>
    </row>
    <row r="139" spans="3:6" x14ac:dyDescent="0.3">
      <c r="C139" s="2">
        <v>256.71410699994607</v>
      </c>
      <c r="D139" s="2">
        <v>1.2356473615829353</v>
      </c>
      <c r="E139" s="2">
        <v>256.71410699994607</v>
      </c>
      <c r="F139" s="2">
        <v>1.2480780134209535</v>
      </c>
    </row>
    <row r="140" spans="3:6" x14ac:dyDescent="0.3">
      <c r="C140" s="3">
        <v>258.59926999994366</v>
      </c>
      <c r="D140" s="3">
        <v>1.2421001979071895</v>
      </c>
      <c r="E140" s="3">
        <v>258.59926999994366</v>
      </c>
      <c r="F140" s="3">
        <v>1.2529687274608823</v>
      </c>
    </row>
    <row r="141" spans="3:6" x14ac:dyDescent="0.3">
      <c r="C141" s="2">
        <v>260.49069599994124</v>
      </c>
      <c r="D141" s="2">
        <v>1.2478328660000402</v>
      </c>
      <c r="E141" s="2">
        <v>260.49069599994124</v>
      </c>
      <c r="F141" s="2">
        <v>1.2570446043611878</v>
      </c>
    </row>
    <row r="142" spans="3:6" x14ac:dyDescent="0.3">
      <c r="C142" s="3">
        <v>262.38212199993882</v>
      </c>
      <c r="D142" s="3">
        <v>1.2527758497459147</v>
      </c>
      <c r="E142" s="3">
        <v>262.38212199993882</v>
      </c>
      <c r="F142" s="3">
        <v>1.2602534438065411</v>
      </c>
    </row>
    <row r="143" spans="3:6" x14ac:dyDescent="0.3">
      <c r="C143" s="2">
        <v>264.27354799993634</v>
      </c>
      <c r="D143" s="2">
        <v>1.256888003072671</v>
      </c>
      <c r="E143" s="2">
        <v>264.27354799993634</v>
      </c>
      <c r="F143" s="2">
        <v>1.2625677561679027</v>
      </c>
    </row>
    <row r="144" spans="3:6" x14ac:dyDescent="0.3">
      <c r="C144" s="3">
        <v>266.15871099993393</v>
      </c>
      <c r="D144" s="3">
        <v>1.260125232312981</v>
      </c>
      <c r="E144" s="3">
        <v>266.15871099993393</v>
      </c>
      <c r="F144" s="3">
        <v>1.2639643300096093</v>
      </c>
    </row>
    <row r="145" spans="3:6" x14ac:dyDescent="0.3">
      <c r="C145" s="2">
        <v>268.04387399993152</v>
      </c>
      <c r="D145" s="2">
        <v>1.26247490351923</v>
      </c>
      <c r="E145" s="2">
        <v>268.04387399993152</v>
      </c>
      <c r="F145" s="2">
        <v>1.2644401917196764</v>
      </c>
    </row>
    <row r="146" spans="3:6" x14ac:dyDescent="0.3">
      <c r="C146" s="3">
        <v>269.92903699992911</v>
      </c>
      <c r="D146" s="3">
        <v>1.2639167919590812</v>
      </c>
      <c r="E146" s="3">
        <v>269.92903699992911</v>
      </c>
      <c r="F146" s="3">
        <v>1.2639912340674324</v>
      </c>
    </row>
    <row r="147" spans="3:6" x14ac:dyDescent="0.3">
      <c r="C147" s="2">
        <v>271.81419999992664</v>
      </c>
      <c r="D147" s="2">
        <v>1.2644384093069145</v>
      </c>
      <c r="E147" s="2">
        <v>271.81419999992664</v>
      </c>
      <c r="F147" s="2">
        <v>1.262621341850934</v>
      </c>
    </row>
    <row r="148" spans="3:6" x14ac:dyDescent="0.3">
      <c r="C148" s="3">
        <v>273.70562599992422</v>
      </c>
      <c r="D148" s="3">
        <v>1.2640323049103015</v>
      </c>
      <c r="E148" s="3">
        <v>273.70562599992422</v>
      </c>
      <c r="F148" s="3">
        <v>1.2603333084012358</v>
      </c>
    </row>
    <row r="149" spans="3:6" x14ac:dyDescent="0.3">
      <c r="C149" s="2">
        <v>275.59078899992181</v>
      </c>
      <c r="D149" s="2">
        <v>1.2627047319153137</v>
      </c>
      <c r="E149" s="2">
        <v>275.59078899992181</v>
      </c>
      <c r="F149" s="2">
        <v>1.2571620557726211</v>
      </c>
    </row>
    <row r="150" spans="3:6" x14ac:dyDescent="0.3">
      <c r="C150" s="3">
        <v>277.4759519999194</v>
      </c>
      <c r="D150" s="3">
        <v>1.2604674089293375</v>
      </c>
      <c r="E150" s="3">
        <v>277.4759519999194</v>
      </c>
      <c r="F150" s="3">
        <v>1.2531285118600217</v>
      </c>
    </row>
    <row r="151" spans="3:6" x14ac:dyDescent="0.3">
      <c r="C151" s="2">
        <v>279.36111499991694</v>
      </c>
      <c r="D151" s="2">
        <v>1.2573395412246675</v>
      </c>
      <c r="E151" s="2">
        <v>279.36111499991694</v>
      </c>
      <c r="F151" s="2">
        <v>1.2482667163772994</v>
      </c>
    </row>
    <row r="152" spans="3:6" x14ac:dyDescent="0.3">
      <c r="C152" s="3">
        <v>281.24627799991453</v>
      </c>
      <c r="D152" s="3">
        <v>1.2533479540529884</v>
      </c>
      <c r="E152" s="3">
        <v>281.24627799991453</v>
      </c>
      <c r="F152" s="3">
        <v>1.2426168745581547</v>
      </c>
    </row>
    <row r="153" spans="3:6" x14ac:dyDescent="0.3">
      <c r="C153" s="2">
        <v>283.13770399991211</v>
      </c>
      <c r="D153" s="2">
        <v>1.2485088974793364</v>
      </c>
      <c r="E153" s="2">
        <v>283.13770399991211</v>
      </c>
      <c r="F153" s="2">
        <v>1.2362025786595352</v>
      </c>
    </row>
    <row r="154" spans="3:6" x14ac:dyDescent="0.3">
      <c r="C154" s="3">
        <v>285.01660399990971</v>
      </c>
      <c r="D154" s="3">
        <v>1.2429143864668886</v>
      </c>
      <c r="E154" s="3">
        <v>285.01660399990971</v>
      </c>
      <c r="F154" s="3">
        <v>1.2291418983473743</v>
      </c>
    </row>
    <row r="155" spans="3:6" x14ac:dyDescent="0.3">
      <c r="C155" s="2">
        <v>286.90802999990723</v>
      </c>
      <c r="D155" s="2">
        <v>1.2365357975434998</v>
      </c>
      <c r="E155" s="2">
        <v>286.90802999990723</v>
      </c>
      <c r="F155" s="2">
        <v>1.2213958095773219</v>
      </c>
    </row>
    <row r="156" spans="3:6" x14ac:dyDescent="0.3">
      <c r="C156" s="3">
        <v>288.79319299990482</v>
      </c>
      <c r="D156" s="3">
        <v>1.2294833970166918</v>
      </c>
      <c r="E156" s="3">
        <v>288.79319299990482</v>
      </c>
      <c r="F156" s="3">
        <v>1.2130963126461514</v>
      </c>
    </row>
    <row r="157" spans="3:6" x14ac:dyDescent="0.3">
      <c r="C157" s="2">
        <v>290.67835599990241</v>
      </c>
      <c r="D157" s="2">
        <v>1.2217920601038961</v>
      </c>
      <c r="E157" s="2">
        <v>290.67835599990241</v>
      </c>
      <c r="F157" s="2">
        <v>1.2042794902244118</v>
      </c>
    </row>
    <row r="158" spans="3:6" x14ac:dyDescent="0.3">
      <c r="C158" s="3">
        <v>292.55725599990001</v>
      </c>
      <c r="D158" s="3">
        <v>1.2135481897458136</v>
      </c>
      <c r="E158" s="3">
        <v>292.55725599990001</v>
      </c>
      <c r="F158" s="3">
        <v>1.195038940765943</v>
      </c>
    </row>
    <row r="159" spans="3:6" x14ac:dyDescent="0.3">
      <c r="C159" s="2">
        <v>294.44868199989753</v>
      </c>
      <c r="D159" s="2">
        <v>1.2047270992171686</v>
      </c>
      <c r="E159" s="2">
        <v>294.44868199989753</v>
      </c>
      <c r="F159" s="2">
        <v>1.1853432875111196</v>
      </c>
    </row>
    <row r="160" spans="3:6" x14ac:dyDescent="0.3">
      <c r="C160" s="3">
        <v>296.33384499989512</v>
      </c>
      <c r="D160" s="3">
        <v>1.1954761443460078</v>
      </c>
      <c r="E160" s="3">
        <v>296.33384499989512</v>
      </c>
      <c r="F160" s="3">
        <v>1.1753501614529087</v>
      </c>
    </row>
    <row r="161" spans="3:6" x14ac:dyDescent="0.3">
      <c r="C161" s="2">
        <v>298.21900799989271</v>
      </c>
      <c r="D161" s="2">
        <v>1.1858298864638823</v>
      </c>
      <c r="E161" s="2">
        <v>298.21900799989271</v>
      </c>
      <c r="F161" s="2">
        <v>1.1650906919380082</v>
      </c>
    </row>
    <row r="162" spans="3:6" x14ac:dyDescent="0.3">
      <c r="C162" s="3">
        <v>300.1041709998903</v>
      </c>
      <c r="D162" s="3">
        <v>1.1758515746706653</v>
      </c>
      <c r="E162" s="3">
        <v>300.1041709998903</v>
      </c>
      <c r="F162" s="3">
        <v>1.1546264061254747</v>
      </c>
    </row>
    <row r="163" spans="3:6" x14ac:dyDescent="0.3">
      <c r="C163" s="2">
        <v>301.99559699988788</v>
      </c>
      <c r="D163" s="2">
        <v>1.1655694007520438</v>
      </c>
      <c r="E163" s="2">
        <v>301.99559699988788</v>
      </c>
      <c r="F163" s="2">
        <v>1.1439816524955677</v>
      </c>
    </row>
    <row r="164" spans="3:6" x14ac:dyDescent="0.3">
      <c r="C164" s="3">
        <v>303.8870229998854</v>
      </c>
      <c r="D164" s="3">
        <v>1.1550782045168433</v>
      </c>
      <c r="E164" s="3">
        <v>303.8870229998854</v>
      </c>
      <c r="F164" s="3">
        <v>1.1332492293307095</v>
      </c>
    </row>
    <row r="165" spans="3:6" x14ac:dyDescent="0.3">
      <c r="C165" s="2">
        <v>305.77844899988298</v>
      </c>
      <c r="D165" s="2">
        <v>1.1444385068961112</v>
      </c>
      <c r="E165" s="2">
        <v>305.77844899988298</v>
      </c>
      <c r="F165" s="2">
        <v>1.1224850084741711</v>
      </c>
    </row>
    <row r="166" spans="3:6" x14ac:dyDescent="0.3">
      <c r="C166" s="3">
        <v>307.66987499988056</v>
      </c>
      <c r="D166" s="3">
        <v>1.1337086850746356</v>
      </c>
      <c r="E166" s="3">
        <v>307.66987499988056</v>
      </c>
      <c r="F166" s="3">
        <v>1.1117420037714127</v>
      </c>
    </row>
    <row r="167" spans="3:6" x14ac:dyDescent="0.3">
      <c r="C167" s="2">
        <v>309.55503799987815</v>
      </c>
      <c r="D167" s="2">
        <v>1.1229803273778511</v>
      </c>
      <c r="E167" s="2">
        <v>309.55503799987815</v>
      </c>
      <c r="F167" s="2">
        <v>1.1011054745670883</v>
      </c>
    </row>
    <row r="168" spans="3:6" x14ac:dyDescent="0.3">
      <c r="C168" s="3">
        <v>311.44020099987569</v>
      </c>
      <c r="D168" s="3">
        <v>1.1122706945492267</v>
      </c>
      <c r="E168" s="3">
        <v>311.44020099987569</v>
      </c>
      <c r="F168" s="3">
        <v>1.0905862222367935</v>
      </c>
    </row>
    <row r="169" spans="3:6" x14ac:dyDescent="0.3">
      <c r="C169" s="2">
        <v>313.32536399987328</v>
      </c>
      <c r="D169" s="2">
        <v>1.1016295245732888</v>
      </c>
      <c r="E169" s="2">
        <v>313.32536399987328</v>
      </c>
      <c r="F169" s="2">
        <v>1.0802276847719694</v>
      </c>
    </row>
    <row r="170" spans="3:6" x14ac:dyDescent="0.3">
      <c r="C170" s="3">
        <v>315.21052699987086</v>
      </c>
      <c r="D170" s="3">
        <v>1.0911034602738863</v>
      </c>
      <c r="E170" s="3">
        <v>315.21052699987086</v>
      </c>
      <c r="F170" s="3">
        <v>1.0700699201368569</v>
      </c>
    </row>
    <row r="171" spans="3:6" x14ac:dyDescent="0.3">
      <c r="C171" s="2">
        <v>317.10195299986844</v>
      </c>
      <c r="D171" s="2">
        <v>1.0807018440713561</v>
      </c>
      <c r="E171" s="2">
        <v>317.10195299986844</v>
      </c>
      <c r="F171" s="2">
        <v>1.0601174114623693</v>
      </c>
    </row>
    <row r="172" spans="3:6" x14ac:dyDescent="0.3">
      <c r="C172" s="3">
        <v>318.98711599986598</v>
      </c>
      <c r="D172" s="3">
        <v>1.0705339972843317</v>
      </c>
      <c r="E172" s="3">
        <v>318.98711599986598</v>
      </c>
      <c r="F172" s="3">
        <v>1.0504700282944925</v>
      </c>
    </row>
    <row r="173" spans="3:6" x14ac:dyDescent="0.3">
      <c r="C173" s="2">
        <v>320.87227899986357</v>
      </c>
      <c r="D173" s="2">
        <v>1.060602257229178</v>
      </c>
      <c r="E173" s="2">
        <v>320.87227899986357</v>
      </c>
      <c r="F173" s="2">
        <v>1.0411252265445765</v>
      </c>
    </row>
    <row r="174" spans="3:6" x14ac:dyDescent="0.3">
      <c r="C174" s="3">
        <v>322.75744199986116</v>
      </c>
      <c r="D174" s="3">
        <v>1.0509406687447433</v>
      </c>
      <c r="E174" s="3">
        <v>322.75744199986116</v>
      </c>
      <c r="F174" s="3">
        <v>1.032110996400796</v>
      </c>
    </row>
    <row r="175" spans="3:6" x14ac:dyDescent="0.3">
      <c r="C175" s="2">
        <v>324.64260499985875</v>
      </c>
      <c r="D175" s="2">
        <v>1.0415802211590075</v>
      </c>
      <c r="E175" s="2">
        <v>324.64260499985875</v>
      </c>
      <c r="F175" s="2">
        <v>1.0234525181653331</v>
      </c>
    </row>
    <row r="176" spans="3:6" x14ac:dyDescent="0.3">
      <c r="C176" s="3">
        <v>326.52776799985628</v>
      </c>
      <c r="D176" s="3">
        <v>1.0325489748901053</v>
      </c>
      <c r="E176" s="3">
        <v>326.52776799985628</v>
      </c>
      <c r="F176" s="3">
        <v>1.0151724448666672</v>
      </c>
    </row>
    <row r="177" spans="3:6" x14ac:dyDescent="0.3">
      <c r="C177" s="2">
        <v>328.41919399985386</v>
      </c>
      <c r="D177" s="2">
        <v>1.0238441472237294</v>
      </c>
      <c r="E177" s="2">
        <v>328.41919399985386</v>
      </c>
      <c r="F177" s="2">
        <v>1.0072654599439701</v>
      </c>
    </row>
    <row r="178" spans="3:6" x14ac:dyDescent="0.3">
      <c r="C178" s="3">
        <v>330.31061999985144</v>
      </c>
      <c r="D178" s="3">
        <v>1.0155192303852727</v>
      </c>
      <c r="E178" s="3">
        <v>330.31061999985144</v>
      </c>
      <c r="F178" s="3">
        <v>0.99977782817240335</v>
      </c>
    </row>
    <row r="179" spans="3:6" x14ac:dyDescent="0.3">
      <c r="C179" s="2">
        <v>332.20204599984902</v>
      </c>
      <c r="D179" s="2">
        <v>1.0075947259031555</v>
      </c>
      <c r="E179" s="2">
        <v>332.20204599984902</v>
      </c>
      <c r="F179" s="2">
        <v>0.99272555862330447</v>
      </c>
    </row>
    <row r="180" spans="3:6" x14ac:dyDescent="0.3">
      <c r="C180" s="3">
        <v>334.09347199984654</v>
      </c>
      <c r="D180" s="3">
        <v>1.0000888556813041</v>
      </c>
      <c r="E180" s="3">
        <v>334.09347199984654</v>
      </c>
      <c r="F180" s="3">
        <v>0.98612276548298294</v>
      </c>
    </row>
    <row r="181" spans="3:6" x14ac:dyDescent="0.3">
      <c r="C181" s="2">
        <v>335.97863499984413</v>
      </c>
      <c r="D181" s="2">
        <v>0.99304037134735101</v>
      </c>
      <c r="E181" s="2">
        <v>335.97863499984413</v>
      </c>
      <c r="F181" s="2">
        <v>0.98000127124249481</v>
      </c>
    </row>
    <row r="182" spans="3:6" x14ac:dyDescent="0.3">
      <c r="C182" s="3">
        <v>337.86379799984172</v>
      </c>
      <c r="D182" s="3">
        <v>0.9864377946105658</v>
      </c>
      <c r="E182" s="3">
        <v>337.86379799984172</v>
      </c>
      <c r="F182" s="3">
        <v>0.97434912460242684</v>
      </c>
    </row>
    <row r="183" spans="3:6" x14ac:dyDescent="0.3">
      <c r="C183" s="2">
        <v>339.74896099983931</v>
      </c>
      <c r="D183" s="2">
        <v>0.98029332928831114</v>
      </c>
      <c r="E183" s="2">
        <v>339.74896099983931</v>
      </c>
      <c r="F183" s="2">
        <v>0.96917544215996443</v>
      </c>
    </row>
    <row r="184" spans="3:6" x14ac:dyDescent="0.3">
      <c r="C184" s="3">
        <v>341.63412399983685</v>
      </c>
      <c r="D184" s="3">
        <v>0.97461770175079132</v>
      </c>
      <c r="E184" s="3">
        <v>341.63412399983685</v>
      </c>
      <c r="F184" s="3">
        <v>0.96448813084168428</v>
      </c>
    </row>
    <row r="185" spans="3:6" x14ac:dyDescent="0.3">
      <c r="C185" s="2">
        <v>343.52554999983442</v>
      </c>
      <c r="D185" s="2">
        <v>0.96940368576300007</v>
      </c>
      <c r="E185" s="2">
        <v>343.52554999983442</v>
      </c>
      <c r="F185" s="2">
        <v>0.96028073974353079</v>
      </c>
    </row>
    <row r="186" spans="3:6" x14ac:dyDescent="0.3">
      <c r="C186" s="3">
        <v>345.416975999832</v>
      </c>
      <c r="D186" s="3">
        <v>0.96467889541715346</v>
      </c>
      <c r="E186" s="3">
        <v>345.416975999832</v>
      </c>
      <c r="F186" s="3">
        <v>0.95657549067288705</v>
      </c>
    </row>
    <row r="187" spans="3:6" x14ac:dyDescent="0.3">
      <c r="C187" s="2">
        <v>347.30840199982958</v>
      </c>
      <c r="D187" s="2">
        <v>0.96045022709048478</v>
      </c>
      <c r="E187" s="2">
        <v>347.30840199982958</v>
      </c>
      <c r="F187" s="2">
        <v>0.95337715528572264</v>
      </c>
    </row>
    <row r="188" spans="3:6" x14ac:dyDescent="0.3">
      <c r="C188" s="3">
        <v>349.19356499982717</v>
      </c>
      <c r="D188" s="3">
        <v>0.95673493530823173</v>
      </c>
      <c r="E188" s="3">
        <v>349.19356499982717</v>
      </c>
      <c r="F188" s="3">
        <v>0.95069765799475192</v>
      </c>
    </row>
    <row r="189" spans="3:6" x14ac:dyDescent="0.3">
      <c r="C189" s="2">
        <v>351.07872799982471</v>
      </c>
      <c r="D189" s="2">
        <v>0.95352297648240547</v>
      </c>
      <c r="E189" s="2">
        <v>351.07872799982471</v>
      </c>
      <c r="F189" s="2">
        <v>0.94852876647530815</v>
      </c>
    </row>
    <row r="190" spans="3:6" x14ac:dyDescent="0.3">
      <c r="C190" s="3">
        <v>352.9638909998223</v>
      </c>
      <c r="D190" s="3">
        <v>0.95081829557408082</v>
      </c>
      <c r="E190" s="3">
        <v>352.9638909998223</v>
      </c>
      <c r="F190" s="3">
        <v>0.94687292249707866</v>
      </c>
    </row>
    <row r="191" spans="3:6" x14ac:dyDescent="0.3">
      <c r="C191" s="2">
        <v>354.84905399981989</v>
      </c>
      <c r="D191" s="2">
        <v>0.9486240846392695</v>
      </c>
      <c r="E191" s="2">
        <v>354.84905399981989</v>
      </c>
      <c r="F191" s="2">
        <v>0.94573192869790457</v>
      </c>
    </row>
    <row r="192" spans="3:6" x14ac:dyDescent="0.3">
      <c r="C192" s="3">
        <v>356.73421699981748</v>
      </c>
      <c r="D192" s="3">
        <v>0.94694275493561375</v>
      </c>
      <c r="E192" s="3">
        <v>356.73421699981748</v>
      </c>
      <c r="F192" s="3">
        <v>0.94510700367065803</v>
      </c>
    </row>
    <row r="193" spans="3:6" x14ac:dyDescent="0.3">
      <c r="C193" s="2">
        <v>358.61937999981501</v>
      </c>
      <c r="D193" s="2">
        <v>0.94577626699239159</v>
      </c>
      <c r="E193" s="2">
        <v>358.61937999981501</v>
      </c>
      <c r="F193" s="2">
        <v>0.94499881878780645</v>
      </c>
    </row>
  </sheetData>
  <phoneticPr fontId="18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EA5815-4171-4101-9B13-3EED2EB314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DTDRpat_result0</vt:lpstr>
      <vt:lpstr>pat_result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김서권</dc:creator>
  <cp:lastModifiedBy>서권 김</cp:lastModifiedBy>
  <dcterms:created xsi:type="dcterms:W3CDTF">2024-07-09T04:57:31Z</dcterms:created>
  <dcterms:modified xsi:type="dcterms:W3CDTF">2024-07-18T16:29:54Z</dcterms:modified>
</cp:coreProperties>
</file>